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Excel Projects\"/>
    </mc:Choice>
  </mc:AlternateContent>
  <xr:revisionPtr revIDLastSave="0" documentId="13_ncr:1_{4EA4203B-450E-46B5-9C5F-F47960A1E27F}" xr6:coauthVersionLast="47" xr6:coauthVersionMax="47" xr10:uidLastSave="{00000000-0000-0000-0000-000000000000}"/>
  <bookViews>
    <workbookView xWindow="-108" yWindow="-108" windowWidth="23256" windowHeight="12456" firstSheet="1" activeTab="1" xr2:uid="{2A7D01C3-FA80-4FDC-A79E-DA45A9BA657E}"/>
  </bookViews>
  <sheets>
    <sheet name="Pivot Report" sheetId="1" r:id="rId1"/>
    <sheet name="Dashboard" sheetId="2" r:id="rId2"/>
    <sheet name="Daily ER No of Patient" sheetId="3" r:id="rId3"/>
    <sheet name="Average Wait Time Daily Trend" sheetId="4" r:id="rId4"/>
    <sheet name="Satisfaction Score" sheetId="5" r:id="rId5"/>
  </sheets>
  <definedNames>
    <definedName name="Slicer_Date__Month">#N/A</definedName>
    <definedName name="Slicer_Date__Year">#N/A</definedName>
  </definedNames>
  <calcPr calcId="191029"/>
  <pivotCaches>
    <pivotCache cacheId="1903" r:id="rId6"/>
    <pivotCache cacheId="1906" r:id="rId7"/>
    <pivotCache cacheId="1909" r:id="rId8"/>
    <pivotCache cacheId="1912" r:id="rId9"/>
    <pivotCache cacheId="1915" r:id="rId10"/>
    <pivotCache cacheId="1918" r:id="rId11"/>
    <pivotCache cacheId="1921" r:id="rId12"/>
    <pivotCache cacheId="1924" r:id="rId13"/>
    <pivotCache cacheId="1927" r:id="rId14"/>
    <pivotCache cacheId="1930" r:id="rId15"/>
    <pivotCache cacheId="1933" r:id="rId16"/>
    <pivotCache cacheId="1936" r:id="rId17"/>
    <pivotCache cacheId="1939" r:id="rId18"/>
  </pivotCaches>
  <extLst>
    <ext xmlns:x14="http://schemas.microsoft.com/office/spreadsheetml/2009/9/main" uri="{876F7934-8845-4945-9796-88D515C7AA90}">
      <x14:pivotCaches>
        <pivotCache cacheId="300"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1329e4c-197c-4601-b4fb-4b994da9dcf2" name="Hospital Emergency Room Data" connection="Query - Hospital Emergency Room Data"/>
          <x15:modelTable id="Calender_Table_bc5debe6-7f59-4fa4-a1f8-d3cb28e87992"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0" i="1" l="1"/>
  <c r="C49" i="1"/>
  <c r="B50" i="1"/>
  <c r="B49" i="1"/>
  <c r="A50" i="1"/>
  <c r="A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AD781C-F4D4-41DC-B449-59FB945B370E}" name="Query - Calender_Table" description="Connection to the 'Calender_Table' query in the workbook." type="100" refreshedVersion="8" minRefreshableVersion="5">
    <extLst>
      <ext xmlns:x15="http://schemas.microsoft.com/office/spreadsheetml/2010/11/main" uri="{DE250136-89BD-433C-8126-D09CA5730AF9}">
        <x15:connection id="c417571b-7188-4894-895a-15bb415e7bca"/>
      </ext>
    </extLst>
  </connection>
  <connection id="2" xr16:uid="{C1D76155-B3C4-444D-97A4-4F83EBC6CFF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12cc3a0-ede1-429b-839a-a12c8ac4b454">
          <x15:oledbPr connection="Provider=Microsoft.Mashup.OleDb.1;Data Source=$Workbook$;Location=&quot;Hospital Emergency Room Data&quot;;Extended Properties=&quot;&quot;">
            <x15:dbTables>
              <x15:dbTable name="Hospital Emergency Room Data"/>
            </x15:dbTables>
          </x15:oledbPr>
        </x15:connection>
      </ext>
    </extLst>
  </connection>
  <connection id="3" xr16:uid="{AACF2E38-1922-4FDD-A57C-D54552961E5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<sst xmlns="http://schemas.openxmlformats.org/spreadsheetml/2006/main" count="170" uniqueCount="79">
  <si>
    <t>Distinct Count of Patient Id</t>
  </si>
  <si>
    <t>Average of Patient Waittime</t>
  </si>
  <si>
    <t>Average of Patient Satisfaction Score</t>
  </si>
  <si>
    <t>No of Patient</t>
  </si>
  <si>
    <t>Row Labels</t>
  </si>
  <si>
    <t>Grand Total</t>
  </si>
  <si>
    <t>•Show a daily trend with an area sparkline to spot patterns like busy days or seasonal trends.</t>
  </si>
  <si>
    <t>Daily Trends of No of Patients</t>
  </si>
  <si>
    <t>Average Wait Time</t>
  </si>
  <si>
    <t>•Use an area chart to track daily changes and highlight days with longer wait times that might need improvements</t>
  </si>
  <si>
    <t>Sum of Patient Satisfaction Score</t>
  </si>
  <si>
    <t xml:space="preserve">       •Use an area chart to show trends, spot drops in satisfaction, and link them to busy times or challenges.</t>
  </si>
  <si>
    <t>Count of Patient Admission Flag</t>
  </si>
  <si>
    <t>Admitted</t>
  </si>
  <si>
    <t>Not Admitted</t>
  </si>
  <si>
    <t>Count of Patient Admission Flag2</t>
  </si>
  <si>
    <t>Admission Status</t>
  </si>
  <si>
    <t>No of Patients</t>
  </si>
  <si>
    <t>% Status</t>
  </si>
  <si>
    <t>0-9</t>
  </si>
  <si>
    <t>10-19</t>
  </si>
  <si>
    <t>20-29</t>
  </si>
  <si>
    <t>30-39</t>
  </si>
  <si>
    <t>40-49</t>
  </si>
  <si>
    <t>50-59</t>
  </si>
  <si>
    <t>60-69</t>
  </si>
  <si>
    <t>70-79</t>
  </si>
  <si>
    <t>Count of Age_Group</t>
  </si>
  <si>
    <t xml:space="preserve">Age Group by Analysis </t>
  </si>
  <si>
    <t>Delay</t>
  </si>
  <si>
    <t>On Time</t>
  </si>
  <si>
    <t>Count of Patient_Attend Status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</si>
  <si>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</si>
  <si>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</si>
  <si>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</si>
  <si>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</si>
  <si>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</si>
  <si>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</si>
  <si>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</si>
  <si>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</si>
  <si>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</si>
  <si>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</si>
  <si>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</si>
  <si>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</si>
  <si>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</si>
  <si>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</si>
  <si>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</si>
  <si>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</si>
  <si>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</si>
  <si>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</si>
  <si>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</si>
  <si>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</si>
  <si>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</si>
  <si>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</si>
  <si>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</si>
  <si>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</si>
  <si>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</si>
  <si>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</si>
  <si>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</si>
  <si>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</si>
  <si>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</si>
  <si>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</si>
  <si>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</si>
  <si>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Count of Patient Gender</t>
  </si>
  <si>
    <t>Female</t>
  </si>
  <si>
    <t>Male</t>
  </si>
  <si>
    <t>Attendent Status</t>
  </si>
  <si>
    <t>No of Patient by Gender</t>
  </si>
  <si>
    <t>Count of Department Referral</t>
  </si>
  <si>
    <t>Cardiology</t>
  </si>
  <si>
    <t>Gastroenterology</t>
  </si>
  <si>
    <t>General Practice</t>
  </si>
  <si>
    <t>Neurology</t>
  </si>
  <si>
    <t>None</t>
  </si>
  <si>
    <t>Orthopedics</t>
  </si>
  <si>
    <t>Physiotherapy</t>
  </si>
  <si>
    <t>Renal</t>
  </si>
  <si>
    <t>No of Patient by Department refferal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</si>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</sst>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2"/>
      <color theme="1"/>
      <name val="Calibri"/>
      <family val="2"/>
      <scheme val="minor"/>
    </font>
    <font>
      <sz val="16"/>
      <color theme="1"/>
      <name val="Calibri"/>
      <family val="2"/>
      <scheme val="minor"/>
    </font>
    <font>
      <sz val="9"/>
      <color theme="1"/>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8">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1" fillId="3" borderId="0" xfId="0" applyFont="1" applyFill="1" applyAlignment="1">
      <alignment horizontal="left" vertical="center" indent="3"/>
    </xf>
    <xf numFmtId="0" fontId="1" fillId="3" borderId="0" xfId="0" applyFont="1" applyFill="1"/>
    <xf numFmtId="0" fontId="2" fillId="3" borderId="0" xfId="0" applyFont="1" applyFill="1" applyAlignment="1">
      <alignment horizontal="left" vertical="center" indent="3"/>
    </xf>
    <xf numFmtId="0" fontId="2" fillId="3" borderId="0" xfId="0" applyFont="1" applyFill="1"/>
    <xf numFmtId="1" fontId="0" fillId="0" borderId="0" xfId="0" applyNumberFormat="1"/>
    <xf numFmtId="10" fontId="0" fillId="0" borderId="0" xfId="0" applyNumberFormat="1"/>
    <xf numFmtId="0" fontId="3" fillId="5" borderId="0" xfId="0" applyFont="1" applyFill="1" applyAlignment="1">
      <alignment horizontal="center"/>
    </xf>
    <xf numFmtId="0" fontId="3" fillId="5" borderId="0" xfId="0" applyFont="1" applyFill="1"/>
    <xf numFmtId="1" fontId="3" fillId="4" borderId="0" xfId="0" applyNumberFormat="1" applyFont="1" applyFill="1" applyAlignment="1">
      <alignment horizontal="center"/>
    </xf>
    <xf numFmtId="10" fontId="3" fillId="4" borderId="0" xfId="0" applyNumberFormat="1" applyFont="1" applyFill="1" applyAlignment="1">
      <alignment horizontal="center"/>
    </xf>
    <xf numFmtId="0" fontId="3" fillId="0" borderId="0" xfId="0" applyFont="1"/>
    <xf numFmtId="0" fontId="0" fillId="0" borderId="0" xfId="0" applyNumberFormat="1"/>
  </cellXfs>
  <cellStyles count="1">
    <cellStyle name="Normal" xfId="0" builtinId="0"/>
  </cellStyles>
  <dxfs count="52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font>
        <b/>
        <color theme="1"/>
      </font>
      <border>
        <bottom style="thin">
          <color theme="4"/>
        </bottom>
        <vertical/>
        <horizontal/>
      </border>
    </dxf>
    <dxf>
      <font>
        <sz val="6.5"/>
        <color theme="1"/>
      </font>
      <fill>
        <patternFill>
          <bgColor theme="0" tint="-4.9989318521683403E-2"/>
        </patternFill>
      </fill>
      <border diagonalUp="0" diagonalDown="0">
        <left/>
        <right/>
        <top/>
        <bottom/>
        <vertical/>
        <horizontal/>
      </border>
    </dxf>
    <dxf>
      <font>
        <b/>
        <color theme="1"/>
      </font>
      <border>
        <bottom style="thin">
          <color theme="4"/>
        </bottom>
        <vertical/>
        <horizontal/>
      </border>
    </dxf>
    <dxf>
      <font>
        <sz val="8"/>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My" pivot="0" table="0" count="10" xr9:uid="{9CD18EBD-2CB5-4673-85F6-4A0A021CB960}">
      <tableStyleElement type="wholeTable" dxfId="526"/>
      <tableStyleElement type="headerRow" dxfId="525"/>
    </tableStyle>
    <tableStyle name="My Style" pivot="0" table="0" count="10" xr9:uid="{22469475-0705-488D-B94A-22213CD3771D}">
      <tableStyleElement type="wholeTable" dxfId="524"/>
      <tableStyleElement type="headerRow" dxfId="523"/>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0"/>
  </c:pivotSource>
  <c:chart>
    <c:autoTitleDeleted val="0"/>
    <c:pivotFmts>
      <c:pivotFmt>
        <c:idx val="0"/>
        <c:spPr>
          <a:solidFill>
            <a:schemeClr val="accent1"/>
          </a:solidFill>
          <a:ln w="0">
            <a:solidFill>
              <a:schemeClr val="accent1"/>
            </a:solidFill>
          </a:ln>
          <a:effectLst/>
        </c:spPr>
        <c:marker>
          <c:symbol val="none"/>
        </c:marker>
        <c:dLbl>
          <c:idx val="0"/>
          <c:numFmt formatCode="General" sourceLinked="0"/>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0">
            <a:solidFill>
              <a:schemeClr val="accent1"/>
            </a:solidFill>
          </a:ln>
          <a:effectLst/>
        </c:spPr>
        <c:dLbl>
          <c:idx val="0"/>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73520B16-8CB6-47A6-9C6F-783B3186E351}" type="CELLRANGE">
                  <a:rPr lang="en-US"/>
                  <a:pPr>
                    <a:defRPr sz="700" b="0" i="0" u="none" strike="noStrike" kern="1200" baseline="0">
                      <a:solidFill>
                        <a:schemeClr val="tx1">
                          <a:lumMod val="75000"/>
                          <a:lumOff val="25000"/>
                        </a:schemeClr>
                      </a:solidFill>
                      <a:latin typeface="+mn-lt"/>
                      <a:ea typeface="+mn-ea"/>
                      <a:cs typeface="+mn-cs"/>
                    </a:defRPr>
                  </a:pPr>
                  <a:t>[CELLRANGE]</a:t>
                </a:fld>
                <a:endParaRPr lang="en-IN"/>
              </a:p>
            </c:rich>
          </c:tx>
          <c:numFmt formatCode="General" sourceLinked="0"/>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spPr>
          <a:solidFill>
            <a:schemeClr val="accent1"/>
          </a:solidFill>
          <a:ln w="0">
            <a:solidFill>
              <a:schemeClr val="accent1"/>
            </a:solidFill>
          </a:ln>
          <a:effectLst/>
        </c:spPr>
        <c:dLbl>
          <c:idx val="0"/>
          <c:numFmt formatCode="General" sourceLinked="0"/>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s>
    <c:plotArea>
      <c:layout>
        <c:manualLayout>
          <c:layoutTarget val="inner"/>
          <c:xMode val="edge"/>
          <c:yMode val="edge"/>
          <c:x val="5.2824562229863245E-2"/>
          <c:y val="0.16732803361412982"/>
          <c:w val="0.87856970190729433"/>
          <c:h val="0.66534393277174042"/>
        </c:manualLayout>
      </c:layout>
      <c:barChart>
        <c:barDir val="bar"/>
        <c:grouping val="clustered"/>
        <c:varyColors val="0"/>
        <c:ser>
          <c:idx val="0"/>
          <c:order val="0"/>
          <c:tx>
            <c:strRef>
              <c:f>'Pivot Report'!$C$40:$C$41</c:f>
              <c:strCache>
                <c:ptCount val="1"/>
                <c:pt idx="0">
                  <c:v>Count of Patient Admission Flag</c:v>
                </c:pt>
              </c:strCache>
            </c:strRef>
          </c:tx>
          <c:spPr>
            <a:solidFill>
              <a:schemeClr val="accent1"/>
            </a:solidFill>
            <a:ln w="0">
              <a:solidFill>
                <a:schemeClr val="accent1"/>
              </a:solidFill>
            </a:ln>
            <a:effectLst/>
          </c:spPr>
          <c:invertIfNegative val="0"/>
          <c:dPt>
            <c:idx val="0"/>
            <c:invertIfNegative val="0"/>
            <c:bubble3D val="0"/>
          </c:dPt>
          <c:dPt>
            <c:idx val="1"/>
            <c:invertIfNegative val="0"/>
            <c:bubble3D val="0"/>
          </c:dPt>
          <c:dLbls>
            <c:dLbl>
              <c:idx val="1"/>
              <c:tx>
                <c:rich>
                  <a:bodyPr/>
                  <a:lstStyle/>
                  <a:p>
                    <a:fld id="{73520B16-8CB6-47A6-9C6F-783B3186E35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numFmt formatCode="General" sourceLinked="0"/>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Report'!$C$40:$C$41</c:f>
              <c:strCache>
                <c:ptCount val="2"/>
                <c:pt idx="0">
                  <c:v>Admitted</c:v>
                </c:pt>
                <c:pt idx="1">
                  <c:v>Not Admitted</c:v>
                </c:pt>
              </c:strCache>
            </c:strRef>
          </c:cat>
          <c:val>
            <c:numRef>
              <c:f>'Pivot Report'!$C$40:$C$41</c:f>
              <c:numCache>
                <c:formatCode>0</c:formatCode>
                <c:ptCount val="2"/>
                <c:pt idx="0">
                  <c:v>269</c:v>
                </c:pt>
                <c:pt idx="1">
                  <c:v>244</c:v>
                </c:pt>
              </c:numCache>
            </c:numRef>
          </c:val>
          <c:extLst>
            <c:ext xmlns:c16="http://schemas.microsoft.com/office/drawing/2014/chart" uri="{C3380CC4-5D6E-409C-BE32-E72D297353CC}">
              <c16:uniqueId val="{00000005-5B8E-482C-8167-A28FC5D92CF9}"/>
            </c:ext>
          </c:extLst>
        </c:ser>
        <c:ser>
          <c:idx val="1"/>
          <c:order val="1"/>
          <c:tx>
            <c:strRef>
              <c:f>'Pivot Report'!$C$40:$C$41</c:f>
              <c:strCache>
                <c:ptCount val="1"/>
                <c:pt idx="0">
                  <c:v>Count of Patient Admission Flag2</c:v>
                </c:pt>
              </c:strCache>
            </c:strRef>
          </c:tx>
          <c:spPr>
            <a:solidFill>
              <a:schemeClr val="accent2"/>
            </a:solidFill>
            <a:ln>
              <a:noFill/>
            </a:ln>
            <a:effectLst/>
          </c:spPr>
          <c:invertIfNegative val="0"/>
          <c:cat>
            <c:strRef>
              <c:f>'Pivot Report'!$C$40:$C$41</c:f>
              <c:strCache>
                <c:ptCount val="2"/>
                <c:pt idx="0">
                  <c:v>Admitted</c:v>
                </c:pt>
                <c:pt idx="1">
                  <c:v>Not Admitted</c:v>
                </c:pt>
              </c:strCache>
            </c:strRef>
          </c:cat>
          <c:val>
            <c:numRef>
              <c:f>'Pivot Report'!$C$40:$C$41</c:f>
              <c:numCache>
                <c:formatCode>0.00%</c:formatCode>
                <c:ptCount val="2"/>
                <c:pt idx="0">
                  <c:v>0.52436647173489281</c:v>
                </c:pt>
                <c:pt idx="1">
                  <c:v>0.47563352826510719</c:v>
                </c:pt>
              </c:numCache>
            </c:numRef>
          </c:val>
          <c:extLst>
            <c:ext xmlns:c16="http://schemas.microsoft.com/office/drawing/2014/chart" uri="{C3380CC4-5D6E-409C-BE32-E72D297353CC}">
              <c16:uniqueId val="{00000006-5B8E-482C-8167-A28FC5D92CF9}"/>
            </c:ext>
          </c:extLst>
        </c:ser>
        <c:dLbls>
          <c:showLegendKey val="0"/>
          <c:showVal val="0"/>
          <c:showCatName val="0"/>
          <c:showSerName val="0"/>
          <c:showPercent val="0"/>
          <c:showBubbleSize val="0"/>
        </c:dLbls>
        <c:gapWidth val="20"/>
        <c:overlap val="37"/>
        <c:axId val="1431164527"/>
        <c:axId val="1431175087"/>
      </c:barChart>
      <c:catAx>
        <c:axId val="1431164527"/>
        <c:scaling>
          <c:orientation val="minMax"/>
        </c:scaling>
        <c:delete val="1"/>
        <c:axPos val="l"/>
        <c:numFmt formatCode="General" sourceLinked="1"/>
        <c:majorTickMark val="none"/>
        <c:minorTickMark val="none"/>
        <c:tickLblPos val="nextTo"/>
        <c:crossAx val="1431175087"/>
        <c:crosses val="autoZero"/>
        <c:auto val="1"/>
        <c:lblAlgn val="ctr"/>
        <c:lblOffset val="100"/>
        <c:noMultiLvlLbl val="0"/>
      </c:catAx>
      <c:valAx>
        <c:axId val="1431175087"/>
        <c:scaling>
          <c:orientation val="minMax"/>
        </c:scaling>
        <c:delete val="1"/>
        <c:axPos val="b"/>
        <c:numFmt formatCode="0" sourceLinked="1"/>
        <c:majorTickMark val="none"/>
        <c:minorTickMark val="none"/>
        <c:tickLblPos val="nextTo"/>
        <c:crossAx val="143116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2798671573467372"/>
          <c:w val="1"/>
          <c:h val="0.72641594111839147"/>
        </c:manualLayout>
      </c:layout>
      <c:areaChart>
        <c:grouping val="standard"/>
        <c:varyColors val="0"/>
        <c:ser>
          <c:idx val="0"/>
          <c:order val="0"/>
          <c:tx>
            <c:strRef>
              <c:f>'Pivot Report'!$G$5</c:f>
              <c:strCache>
                <c:ptCount val="1"/>
                <c:pt idx="0">
                  <c:v>Total</c:v>
                </c:pt>
              </c:strCache>
            </c:strRef>
          </c:tx>
          <c:spPr>
            <a:solidFill>
              <a:schemeClr val="tx2">
                <a:lumMod val="50000"/>
              </a:schemeClr>
            </a:solidFill>
            <a:ln w="25400">
              <a:noFill/>
            </a:ln>
            <a:effectLst/>
          </c:spPr>
          <c:cat>
            <c:strRef>
              <c:f>'Pivot Report'!$F$6:$F$37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Report'!$G$6:$G$37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1E8E-40C0-ADBE-92A88F3EE113}"/>
            </c:ext>
          </c:extLst>
        </c:ser>
        <c:dLbls>
          <c:showLegendKey val="0"/>
          <c:showVal val="0"/>
          <c:showCatName val="0"/>
          <c:showSerName val="0"/>
          <c:showPercent val="0"/>
          <c:showBubbleSize val="0"/>
        </c:dLbls>
        <c:axId val="1228508896"/>
        <c:axId val="1228518496"/>
      </c:areaChart>
      <c:catAx>
        <c:axId val="1228508896"/>
        <c:scaling>
          <c:orientation val="minMax"/>
        </c:scaling>
        <c:delete val="1"/>
        <c:axPos val="b"/>
        <c:numFmt formatCode="General" sourceLinked="1"/>
        <c:majorTickMark val="out"/>
        <c:minorTickMark val="none"/>
        <c:tickLblPos val="nextTo"/>
        <c:crossAx val="1228518496"/>
        <c:crosses val="autoZero"/>
        <c:auto val="1"/>
        <c:lblAlgn val="ctr"/>
        <c:lblOffset val="100"/>
        <c:noMultiLvlLbl val="0"/>
      </c:catAx>
      <c:valAx>
        <c:axId val="1228518496"/>
        <c:scaling>
          <c:orientation val="minMax"/>
        </c:scaling>
        <c:delete val="1"/>
        <c:axPos val="l"/>
        <c:numFmt formatCode="General" sourceLinked="1"/>
        <c:majorTickMark val="none"/>
        <c:minorTickMark val="none"/>
        <c:tickLblPos val="nextTo"/>
        <c:crossAx val="122850889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6059035310057164"/>
          <c:w val="1"/>
          <c:h val="0.63940964689942836"/>
        </c:manualLayout>
      </c:layout>
      <c:areaChart>
        <c:grouping val="standard"/>
        <c:varyColors val="0"/>
        <c:ser>
          <c:idx val="0"/>
          <c:order val="0"/>
          <c:tx>
            <c:strRef>
              <c:f>'Pivot Report'!$K$5</c:f>
              <c:strCache>
                <c:ptCount val="1"/>
                <c:pt idx="0">
                  <c:v>Total</c:v>
                </c:pt>
              </c:strCache>
            </c:strRef>
          </c:tx>
          <c:spPr>
            <a:solidFill>
              <a:schemeClr val="tx2">
                <a:lumMod val="50000"/>
              </a:schemeClr>
            </a:solidFill>
            <a:ln w="25400">
              <a:noFill/>
            </a:ln>
            <a:effectLst/>
          </c:spPr>
          <c:cat>
            <c:strRef>
              <c:f>'Pivot Report'!$J$6:$J$37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Report'!$K$6:$K$37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BFC0-473A-A492-800E9E99EC89}"/>
            </c:ext>
          </c:extLst>
        </c:ser>
        <c:dLbls>
          <c:showLegendKey val="0"/>
          <c:showVal val="0"/>
          <c:showCatName val="0"/>
          <c:showSerName val="0"/>
          <c:showPercent val="0"/>
          <c:showBubbleSize val="0"/>
        </c:dLbls>
        <c:axId val="1461614127"/>
        <c:axId val="1461619887"/>
      </c:areaChart>
      <c:catAx>
        <c:axId val="1461614127"/>
        <c:scaling>
          <c:orientation val="minMax"/>
        </c:scaling>
        <c:delete val="1"/>
        <c:axPos val="b"/>
        <c:numFmt formatCode="General" sourceLinked="1"/>
        <c:majorTickMark val="out"/>
        <c:minorTickMark val="none"/>
        <c:tickLblPos val="nextTo"/>
        <c:crossAx val="1461619887"/>
        <c:crosses val="autoZero"/>
        <c:auto val="1"/>
        <c:lblAlgn val="ctr"/>
        <c:lblOffset val="100"/>
        <c:noMultiLvlLbl val="0"/>
      </c:catAx>
      <c:valAx>
        <c:axId val="1461619887"/>
        <c:scaling>
          <c:orientation val="minMax"/>
        </c:scaling>
        <c:delete val="1"/>
        <c:axPos val="l"/>
        <c:numFmt formatCode="0.00" sourceLinked="1"/>
        <c:majorTickMark val="none"/>
        <c:minorTickMark val="none"/>
        <c:tickLblPos val="nextTo"/>
        <c:crossAx val="14616141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1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3606128734433254"/>
          <c:w val="1"/>
          <c:h val="0.76393871265566748"/>
        </c:manualLayout>
      </c:layout>
      <c:areaChart>
        <c:grouping val="standard"/>
        <c:varyColors val="0"/>
        <c:ser>
          <c:idx val="0"/>
          <c:order val="0"/>
          <c:tx>
            <c:strRef>
              <c:f>'Pivot Report'!$N$5</c:f>
              <c:strCache>
                <c:ptCount val="1"/>
                <c:pt idx="0">
                  <c:v>Total</c:v>
                </c:pt>
              </c:strCache>
            </c:strRef>
          </c:tx>
          <c:spPr>
            <a:solidFill>
              <a:schemeClr val="bg2">
                <a:lumMod val="10000"/>
              </a:schemeClr>
            </a:solidFill>
            <a:ln w="25400">
              <a:noFill/>
            </a:ln>
            <a:effectLst/>
          </c:spPr>
          <c:cat>
            <c:strRef>
              <c:f>'Pivot Report'!$M$6:$M$37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Report'!$N$6:$N$37</c:f>
              <c:numCache>
                <c:formatCode>0.00</c:formatCode>
                <c:ptCount val="31"/>
                <c:pt idx="0">
                  <c:v>40</c:v>
                </c:pt>
                <c:pt idx="1">
                  <c:v>21</c:v>
                </c:pt>
                <c:pt idx="2">
                  <c:v>9</c:v>
                </c:pt>
                <c:pt idx="3">
                  <c:v>24</c:v>
                </c:pt>
                <c:pt idx="4">
                  <c:v>31</c:v>
                </c:pt>
                <c:pt idx="5">
                  <c:v>31</c:v>
                </c:pt>
                <c:pt idx="6">
                  <c:v>15</c:v>
                </c:pt>
                <c:pt idx="7">
                  <c:v>39</c:v>
                </c:pt>
                <c:pt idx="8">
                  <c:v>6</c:v>
                </c:pt>
                <c:pt idx="9">
                  <c:v>9</c:v>
                </c:pt>
                <c:pt idx="10">
                  <c:v>18</c:v>
                </c:pt>
                <c:pt idx="11">
                  <c:v>26</c:v>
                </c:pt>
                <c:pt idx="12">
                  <c:v>22</c:v>
                </c:pt>
                <c:pt idx="13">
                  <c:v>38</c:v>
                </c:pt>
                <c:pt idx="14">
                  <c:v>44</c:v>
                </c:pt>
                <c:pt idx="15">
                  <c:v>35</c:v>
                </c:pt>
                <c:pt idx="16">
                  <c:v>40</c:v>
                </c:pt>
                <c:pt idx="17">
                  <c:v>16</c:v>
                </c:pt>
                <c:pt idx="18">
                  <c:v>16</c:v>
                </c:pt>
                <c:pt idx="19">
                  <c:v>39</c:v>
                </c:pt>
                <c:pt idx="20">
                  <c:v>5</c:v>
                </c:pt>
                <c:pt idx="21">
                  <c:v>32</c:v>
                </c:pt>
                <c:pt idx="22">
                  <c:v>16</c:v>
                </c:pt>
                <c:pt idx="23">
                  <c:v>15</c:v>
                </c:pt>
                <c:pt idx="24">
                  <c:v>19</c:v>
                </c:pt>
                <c:pt idx="25">
                  <c:v>10</c:v>
                </c:pt>
                <c:pt idx="26">
                  <c:v>35</c:v>
                </c:pt>
                <c:pt idx="27">
                  <c:v>32</c:v>
                </c:pt>
                <c:pt idx="28">
                  <c:v>24</c:v>
                </c:pt>
                <c:pt idx="29">
                  <c:v>15</c:v>
                </c:pt>
                <c:pt idx="30">
                  <c:v>7</c:v>
                </c:pt>
              </c:numCache>
            </c:numRef>
          </c:val>
          <c:extLst>
            <c:ext xmlns:c16="http://schemas.microsoft.com/office/drawing/2014/chart" uri="{C3380CC4-5D6E-409C-BE32-E72D297353CC}">
              <c16:uniqueId val="{00000003-A551-4845-8240-BF633090A0E7}"/>
            </c:ext>
          </c:extLst>
        </c:ser>
        <c:dLbls>
          <c:showLegendKey val="0"/>
          <c:showVal val="0"/>
          <c:showCatName val="0"/>
          <c:showSerName val="0"/>
          <c:showPercent val="0"/>
          <c:showBubbleSize val="0"/>
        </c:dLbls>
        <c:axId val="755028559"/>
        <c:axId val="755030959"/>
      </c:areaChart>
      <c:catAx>
        <c:axId val="755028559"/>
        <c:scaling>
          <c:orientation val="minMax"/>
        </c:scaling>
        <c:delete val="1"/>
        <c:axPos val="b"/>
        <c:numFmt formatCode="General" sourceLinked="1"/>
        <c:majorTickMark val="out"/>
        <c:minorTickMark val="none"/>
        <c:tickLblPos val="nextTo"/>
        <c:crossAx val="755030959"/>
        <c:crosses val="autoZero"/>
        <c:auto val="1"/>
        <c:lblAlgn val="ctr"/>
        <c:lblOffset val="100"/>
        <c:noMultiLvlLbl val="0"/>
      </c:catAx>
      <c:valAx>
        <c:axId val="755030959"/>
        <c:scaling>
          <c:orientation val="minMax"/>
        </c:scaling>
        <c:delete val="1"/>
        <c:axPos val="l"/>
        <c:numFmt formatCode="0.00" sourceLinked="1"/>
        <c:majorTickMark val="none"/>
        <c:minorTickMark val="none"/>
        <c:tickLblPos val="nextTo"/>
        <c:crossAx val="7550285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0-9</c:v>
                </c:pt>
                <c:pt idx="1">
                  <c:v>10-19</c:v>
                </c:pt>
                <c:pt idx="2">
                  <c:v>20-29</c:v>
                </c:pt>
                <c:pt idx="3">
                  <c:v>30-39</c:v>
                </c:pt>
                <c:pt idx="4">
                  <c:v>40-49</c:v>
                </c:pt>
                <c:pt idx="5">
                  <c:v>50-59</c:v>
                </c:pt>
                <c:pt idx="6">
                  <c:v>60-69</c:v>
                </c:pt>
                <c:pt idx="7">
                  <c:v>70-79</c:v>
                </c:pt>
              </c:strCache>
            </c:strRef>
          </c:cat>
          <c:val>
            <c:numRef>
              <c:f>'Pivot Report'!$B$54:$B$62</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3-A5B1-4C02-8CB4-A75AB44EBE17}"/>
            </c:ext>
          </c:extLst>
        </c:ser>
        <c:dLbls>
          <c:showLegendKey val="0"/>
          <c:showVal val="0"/>
          <c:showCatName val="0"/>
          <c:showSerName val="0"/>
          <c:showPercent val="0"/>
          <c:showBubbleSize val="0"/>
        </c:dLbls>
        <c:gapWidth val="219"/>
        <c:overlap val="-27"/>
        <c:axId val="1736827919"/>
        <c:axId val="1736826479"/>
      </c:barChart>
      <c:catAx>
        <c:axId val="173682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736826479"/>
        <c:crosses val="autoZero"/>
        <c:auto val="1"/>
        <c:lblAlgn val="ctr"/>
        <c:lblOffset val="100"/>
        <c:noMultiLvlLbl val="0"/>
      </c:catAx>
      <c:valAx>
        <c:axId val="1736826479"/>
        <c:scaling>
          <c:orientation val="minMax"/>
        </c:scaling>
        <c:delete val="1"/>
        <c:axPos val="l"/>
        <c:numFmt formatCode="0" sourceLinked="1"/>
        <c:majorTickMark val="none"/>
        <c:minorTickMark val="none"/>
        <c:tickLblPos val="nextTo"/>
        <c:crossAx val="173682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5576979865346111"/>
          <c:y val="0.11103943923927476"/>
          <c:w val="0.51204921121201719"/>
          <c:h val="0.87431619008168182"/>
        </c:manualLayout>
      </c:layout>
      <c:pieChart>
        <c:varyColors val="1"/>
        <c:ser>
          <c:idx val="0"/>
          <c:order val="0"/>
          <c:tx>
            <c:strRef>
              <c:f>'Pivot Report'!$B$77</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Report'!$A$78:$A$80</c:f>
              <c:strCache>
                <c:ptCount val="2"/>
                <c:pt idx="0">
                  <c:v>Delay</c:v>
                </c:pt>
                <c:pt idx="1">
                  <c:v>On Time</c:v>
                </c:pt>
              </c:strCache>
            </c:strRef>
          </c:cat>
          <c:val>
            <c:numRef>
              <c:f>'Pivot Report'!$B$78:$B$80</c:f>
              <c:numCache>
                <c:formatCode>0</c:formatCode>
                <c:ptCount val="2"/>
                <c:pt idx="0">
                  <c:v>316</c:v>
                </c:pt>
                <c:pt idx="1">
                  <c:v>197</c:v>
                </c:pt>
              </c:numCache>
            </c:numRef>
          </c:val>
          <c:extLst>
            <c:ext xmlns:c16="http://schemas.microsoft.com/office/drawing/2014/chart" uri="{C3380CC4-5D6E-409C-BE32-E72D297353CC}">
              <c16:uniqueId val="{00000007-D57F-43F7-944E-C5373246607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4.0535472144485163E-2"/>
          <c:y val="5.7815689705455859E-4"/>
          <c:w val="0.91020055793143706"/>
          <c:h val="0.128788747013222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27"/>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0822295212171854"/>
          <c:y val="0.16980392745992043"/>
          <c:w val="0.53206612117250907"/>
          <c:h val="0.8051004899935652"/>
        </c:manualLayout>
      </c:layout>
      <c:doughnutChart>
        <c:varyColors val="1"/>
        <c:ser>
          <c:idx val="0"/>
          <c:order val="0"/>
          <c:tx>
            <c:strRef>
              <c:f>'Pivot Report'!$B$83</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Report'!$A$84:$A$86</c:f>
              <c:strCache>
                <c:ptCount val="2"/>
                <c:pt idx="0">
                  <c:v>Female</c:v>
                </c:pt>
                <c:pt idx="1">
                  <c:v>Male</c:v>
                </c:pt>
              </c:strCache>
            </c:strRef>
          </c:cat>
          <c:val>
            <c:numRef>
              <c:f>'Pivot Report'!$B$84:$B$86</c:f>
              <c:numCache>
                <c:formatCode>0</c:formatCode>
                <c:ptCount val="2"/>
                <c:pt idx="0">
                  <c:v>241</c:v>
                </c:pt>
                <c:pt idx="1">
                  <c:v>272</c:v>
                </c:pt>
              </c:numCache>
            </c:numRef>
          </c:val>
          <c:extLst>
            <c:ext xmlns:c16="http://schemas.microsoft.com/office/drawing/2014/chart" uri="{C3380CC4-5D6E-409C-BE32-E72D297353CC}">
              <c16:uniqueId val="{00000008-0B73-42C6-AF91-E7BC4022F9A0}"/>
            </c:ext>
          </c:extLst>
        </c:ser>
        <c:dLbls>
          <c:showLegendKey val="0"/>
          <c:showVal val="0"/>
          <c:showCatName val="0"/>
          <c:showSerName val="0"/>
          <c:showPercent val="1"/>
          <c:showBubbleSize val="0"/>
          <c:showLeaderLines val="1"/>
        </c:dLbls>
        <c:firstSliceAng val="0"/>
        <c:holeSize val="46"/>
      </c:doughnutChart>
      <c:spPr>
        <a:noFill/>
        <a:ln>
          <a:noFill/>
        </a:ln>
        <a:effectLst/>
      </c:spPr>
    </c:plotArea>
    <c:legend>
      <c:legendPos val="r"/>
      <c:layout>
        <c:manualLayout>
          <c:xMode val="edge"/>
          <c:yMode val="edge"/>
          <c:x val="7.5238481331027812E-2"/>
          <c:y val="1.4757394345919933E-2"/>
          <c:w val="0.75738361366438045"/>
          <c:h val="0.1701519555926118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Report!PivotTable12</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41456557773178"/>
          <c:y val="7.9590799599824069E-2"/>
          <c:w val="0.65613192940790743"/>
          <c:h val="0.86976050974574248"/>
        </c:manualLayout>
      </c:layout>
      <c:barChart>
        <c:barDir val="bar"/>
        <c:grouping val="clustered"/>
        <c:varyColors val="0"/>
        <c:ser>
          <c:idx val="0"/>
          <c:order val="0"/>
          <c:tx>
            <c:strRef>
              <c:f>'Pivot Report'!$B$89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Report'!$A$90:$A$98</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Report'!$B$90:$B$98</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4-518A-44C7-B49D-98F27522924F}"/>
            </c:ext>
          </c:extLst>
        </c:ser>
        <c:dLbls>
          <c:showLegendKey val="0"/>
          <c:showVal val="0"/>
          <c:showCatName val="0"/>
          <c:showSerName val="0"/>
          <c:showPercent val="0"/>
          <c:showBubbleSize val="0"/>
        </c:dLbls>
        <c:gapWidth val="182"/>
        <c:axId val="1783197152"/>
        <c:axId val="1783213952"/>
      </c:barChart>
      <c:catAx>
        <c:axId val="1783197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83213952"/>
        <c:crosses val="autoZero"/>
        <c:auto val="1"/>
        <c:lblAlgn val="ctr"/>
        <c:lblOffset val="100"/>
        <c:noMultiLvlLbl val="0"/>
      </c:catAx>
      <c:valAx>
        <c:axId val="1783213952"/>
        <c:scaling>
          <c:orientation val="minMax"/>
        </c:scaling>
        <c:delete val="1"/>
        <c:axPos val="b"/>
        <c:numFmt formatCode="0" sourceLinked="1"/>
        <c:majorTickMark val="none"/>
        <c:minorTickMark val="none"/>
        <c:tickLblPos val="nextTo"/>
        <c:crossAx val="178319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026390662660749E-2"/>
          <c:y val="0.19980506822612085"/>
          <c:w val="0.9144750503036595"/>
          <c:h val="0.61786273426348026"/>
        </c:manualLayout>
      </c:layout>
      <c:areaChart>
        <c:grouping val="standard"/>
        <c:varyColors val="0"/>
        <c:ser>
          <c:idx val="0"/>
          <c:order val="0"/>
          <c:tx>
            <c:strRef>
              <c:f>'Pivot Report'!$G$5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Report'!$F$6:$F$37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Report'!$G$6:$G$37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16A0-45C6-BB28-C7328123B2C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28533856"/>
        <c:axId val="1228532896"/>
      </c:areaChart>
      <c:catAx>
        <c:axId val="122853385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8532896"/>
        <c:crosses val="autoZero"/>
        <c:auto val="1"/>
        <c:lblAlgn val="ctr"/>
        <c:lblOffset val="100"/>
        <c:noMultiLvlLbl val="0"/>
      </c:catAx>
      <c:valAx>
        <c:axId val="1228532896"/>
        <c:scaling>
          <c:orientation val="minMax"/>
        </c:scaling>
        <c:delete val="1"/>
        <c:axPos val="l"/>
        <c:numFmt formatCode="General" sourceLinked="1"/>
        <c:majorTickMark val="out"/>
        <c:minorTickMark val="none"/>
        <c:tickLblPos val="nextTo"/>
        <c:crossAx val="12285338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3206960232871082"/>
          <c:w val="1"/>
          <c:h val="0.71382080863019315"/>
        </c:manualLayout>
      </c:layout>
      <c:areaChart>
        <c:grouping val="standard"/>
        <c:varyColors val="0"/>
        <c:ser>
          <c:idx val="0"/>
          <c:order val="0"/>
          <c:tx>
            <c:strRef>
              <c:f>'Pivot Report'!$K$5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Report'!$J$6:$J$37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Report'!$K$6:$K$37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13B9-4839-A3E7-3B99C443D49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61614127"/>
        <c:axId val="1461619887"/>
      </c:areaChart>
      <c:catAx>
        <c:axId val="146161412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crossAx val="1461619887"/>
        <c:crosses val="autoZero"/>
        <c:auto val="1"/>
        <c:lblAlgn val="ctr"/>
        <c:lblOffset val="100"/>
        <c:noMultiLvlLbl val="0"/>
      </c:catAx>
      <c:valAx>
        <c:axId val="1461619887"/>
        <c:scaling>
          <c:orientation val="minMax"/>
        </c:scaling>
        <c:delete val="1"/>
        <c:axPos val="l"/>
        <c:numFmt formatCode="0.00" sourceLinked="1"/>
        <c:majorTickMark val="out"/>
        <c:minorTickMark val="none"/>
        <c:tickLblPos val="nextTo"/>
        <c:crossAx val="14616141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9767739499606052"/>
          <c:w val="1"/>
          <c:h val="0.63435280244931114"/>
        </c:manualLayout>
      </c:layout>
      <c:areaChart>
        <c:grouping val="standard"/>
        <c:varyColors val="0"/>
        <c:ser>
          <c:idx val="0"/>
          <c:order val="0"/>
          <c:tx>
            <c:strRef>
              <c:f>'Pivot Report'!$N$5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Report'!$M$6:$M$37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Report'!$N$6:$N$37</c:f>
              <c:numCache>
                <c:formatCode>0.00</c:formatCode>
                <c:ptCount val="31"/>
                <c:pt idx="0">
                  <c:v>40</c:v>
                </c:pt>
                <c:pt idx="1">
                  <c:v>21</c:v>
                </c:pt>
                <c:pt idx="2">
                  <c:v>9</c:v>
                </c:pt>
                <c:pt idx="3">
                  <c:v>24</c:v>
                </c:pt>
                <c:pt idx="4">
                  <c:v>31</c:v>
                </c:pt>
                <c:pt idx="5">
                  <c:v>31</c:v>
                </c:pt>
                <c:pt idx="6">
                  <c:v>15</c:v>
                </c:pt>
                <c:pt idx="7">
                  <c:v>39</c:v>
                </c:pt>
                <c:pt idx="8">
                  <c:v>6</c:v>
                </c:pt>
                <c:pt idx="9">
                  <c:v>9</c:v>
                </c:pt>
                <c:pt idx="10">
                  <c:v>18</c:v>
                </c:pt>
                <c:pt idx="11">
                  <c:v>26</c:v>
                </c:pt>
                <c:pt idx="12">
                  <c:v>22</c:v>
                </c:pt>
                <c:pt idx="13">
                  <c:v>38</c:v>
                </c:pt>
                <c:pt idx="14">
                  <c:v>44</c:v>
                </c:pt>
                <c:pt idx="15">
                  <c:v>35</c:v>
                </c:pt>
                <c:pt idx="16">
                  <c:v>40</c:v>
                </c:pt>
                <c:pt idx="17">
                  <c:v>16</c:v>
                </c:pt>
                <c:pt idx="18">
                  <c:v>16</c:v>
                </c:pt>
                <c:pt idx="19">
                  <c:v>39</c:v>
                </c:pt>
                <c:pt idx="20">
                  <c:v>5</c:v>
                </c:pt>
                <c:pt idx="21">
                  <c:v>32</c:v>
                </c:pt>
                <c:pt idx="22">
                  <c:v>16</c:v>
                </c:pt>
                <c:pt idx="23">
                  <c:v>15</c:v>
                </c:pt>
                <c:pt idx="24">
                  <c:v>19</c:v>
                </c:pt>
                <c:pt idx="25">
                  <c:v>10</c:v>
                </c:pt>
                <c:pt idx="26">
                  <c:v>35</c:v>
                </c:pt>
                <c:pt idx="27">
                  <c:v>32</c:v>
                </c:pt>
                <c:pt idx="28">
                  <c:v>24</c:v>
                </c:pt>
                <c:pt idx="29">
                  <c:v>15</c:v>
                </c:pt>
                <c:pt idx="30">
                  <c:v>7</c:v>
                </c:pt>
              </c:numCache>
            </c:numRef>
          </c:val>
          <c:extLst>
            <c:ext xmlns:c16="http://schemas.microsoft.com/office/drawing/2014/chart" uri="{C3380CC4-5D6E-409C-BE32-E72D297353CC}">
              <c16:uniqueId val="{00000002-3166-40B9-94C6-782A6954520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55028559"/>
        <c:axId val="755030959"/>
      </c:areaChart>
      <c:catAx>
        <c:axId val="75502855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crossAx val="755030959"/>
        <c:crosses val="autoZero"/>
        <c:auto val="1"/>
        <c:lblAlgn val="ctr"/>
        <c:lblOffset val="100"/>
        <c:noMultiLvlLbl val="0"/>
      </c:catAx>
      <c:valAx>
        <c:axId val="755030959"/>
        <c:scaling>
          <c:orientation val="minMax"/>
        </c:scaling>
        <c:delete val="1"/>
        <c:axPos val="l"/>
        <c:numFmt formatCode="0.00" sourceLinked="1"/>
        <c:majorTickMark val="out"/>
        <c:minorTickMark val="none"/>
        <c:tickLblPos val="nextTo"/>
        <c:crossAx val="7550285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Satisfaction Score'!A1"/><Relationship Id="rId17" Type="http://schemas.openxmlformats.org/officeDocument/2006/relationships/chart" Target="../charts/chart7.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hyperlink" Target="#'Daily ER No of Patient'!A1"/><Relationship Id="rId6" Type="http://schemas.openxmlformats.org/officeDocument/2006/relationships/image" Target="../media/image5.svg"/><Relationship Id="rId11" Type="http://schemas.openxmlformats.org/officeDocument/2006/relationships/chart" Target="../charts/chart3.xml"/><Relationship Id="rId5" Type="http://schemas.openxmlformats.org/officeDocument/2006/relationships/image" Target="../media/image4.pn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3.sv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602036</xdr:colOff>
      <xdr:row>48</xdr:row>
      <xdr:rowOff>0</xdr:rowOff>
    </xdr:from>
    <xdr:to>
      <xdr:col>4</xdr:col>
      <xdr:colOff>0</xdr:colOff>
      <xdr:row>50</xdr:row>
      <xdr:rowOff>0</xdr:rowOff>
    </xdr:to>
    <xdr:graphicFrame macro="">
      <xdr:nvGraphicFramePr>
        <xdr:cNvPr id="4" name="Chart 3">
          <a:extLst>
            <a:ext uri="{FF2B5EF4-FFF2-40B4-BE49-F238E27FC236}">
              <a16:creationId xmlns:a16="http://schemas.microsoft.com/office/drawing/2014/main" id="{E8EF4A80-5EF7-3A71-7CC3-7DB4DD375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47897</xdr:colOff>
      <xdr:row>0</xdr:row>
      <xdr:rowOff>43543</xdr:rowOff>
    </xdr:from>
    <xdr:to>
      <xdr:col>5</xdr:col>
      <xdr:colOff>269967</xdr:colOff>
      <xdr:row>2</xdr:row>
      <xdr:rowOff>74023</xdr:rowOff>
    </xdr:to>
    <xdr:sp macro="" textlink="">
      <xdr:nvSpPr>
        <xdr:cNvPr id="2" name="Rectangle: Rounded Corners 1">
          <a:extLst>
            <a:ext uri="{FF2B5EF4-FFF2-40B4-BE49-F238E27FC236}">
              <a16:creationId xmlns:a16="http://schemas.microsoft.com/office/drawing/2014/main" id="{C0498444-D3A2-DCB8-C2A9-AE3712F13D1D}"/>
            </a:ext>
          </a:extLst>
        </xdr:cNvPr>
        <xdr:cNvSpPr/>
      </xdr:nvSpPr>
      <xdr:spPr>
        <a:xfrm>
          <a:off x="47897" y="43543"/>
          <a:ext cx="3270070" cy="396240"/>
        </a:xfrm>
        <a:prstGeom prst="roundRect">
          <a:avLst>
            <a:gd name="adj" fmla="val 1996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56606</xdr:colOff>
      <xdr:row>0</xdr:row>
      <xdr:rowOff>65314</xdr:rowOff>
    </xdr:from>
    <xdr:to>
      <xdr:col>5</xdr:col>
      <xdr:colOff>113211</xdr:colOff>
      <xdr:row>3</xdr:row>
      <xdr:rowOff>26126</xdr:rowOff>
    </xdr:to>
    <xdr:sp macro="" textlink="">
      <xdr:nvSpPr>
        <xdr:cNvPr id="4" name="Rectangle: Rounded Corners 3">
          <a:extLst>
            <a:ext uri="{FF2B5EF4-FFF2-40B4-BE49-F238E27FC236}">
              <a16:creationId xmlns:a16="http://schemas.microsoft.com/office/drawing/2014/main" id="{B04A7C4D-282F-7ED6-B427-023427A4107A}"/>
            </a:ext>
          </a:extLst>
        </xdr:cNvPr>
        <xdr:cNvSpPr/>
      </xdr:nvSpPr>
      <xdr:spPr>
        <a:xfrm>
          <a:off x="56606" y="65314"/>
          <a:ext cx="3104605" cy="509452"/>
        </a:xfrm>
        <a:prstGeom prst="roundRect">
          <a:avLst>
            <a:gd name="adj" fmla="val 1239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148045</xdr:colOff>
      <xdr:row>0</xdr:row>
      <xdr:rowOff>65314</xdr:rowOff>
    </xdr:from>
    <xdr:to>
      <xdr:col>7</xdr:col>
      <xdr:colOff>322216</xdr:colOff>
      <xdr:row>3</xdr:row>
      <xdr:rowOff>26126</xdr:rowOff>
    </xdr:to>
    <xdr:sp macro="" textlink="">
      <xdr:nvSpPr>
        <xdr:cNvPr id="5" name="Rectangle: Rounded Corners 4">
          <a:extLst>
            <a:ext uri="{FF2B5EF4-FFF2-40B4-BE49-F238E27FC236}">
              <a16:creationId xmlns:a16="http://schemas.microsoft.com/office/drawing/2014/main" id="{782E7F51-2256-9EA5-581E-26D55AED1198}"/>
            </a:ext>
          </a:extLst>
        </xdr:cNvPr>
        <xdr:cNvSpPr/>
      </xdr:nvSpPr>
      <xdr:spPr>
        <a:xfrm>
          <a:off x="3196045" y="65314"/>
          <a:ext cx="1393371" cy="509452"/>
        </a:xfrm>
        <a:prstGeom prst="roundRect">
          <a:avLst>
            <a:gd name="adj" fmla="val 897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357052</xdr:colOff>
      <xdr:row>0</xdr:row>
      <xdr:rowOff>60958</xdr:rowOff>
    </xdr:from>
    <xdr:to>
      <xdr:col>9</xdr:col>
      <xdr:colOff>488732</xdr:colOff>
      <xdr:row>5</xdr:row>
      <xdr:rowOff>104501</xdr:rowOff>
    </xdr:to>
    <xdr:sp macro="" textlink="">
      <xdr:nvSpPr>
        <xdr:cNvPr id="7" name="Rectangle: Rounded Corners 6">
          <a:extLst>
            <a:ext uri="{FF2B5EF4-FFF2-40B4-BE49-F238E27FC236}">
              <a16:creationId xmlns:a16="http://schemas.microsoft.com/office/drawing/2014/main" id="{42906F4B-1B2D-0102-B29C-A91014B1C837}"/>
            </a:ext>
          </a:extLst>
        </xdr:cNvPr>
        <xdr:cNvSpPr/>
      </xdr:nvSpPr>
      <xdr:spPr>
        <a:xfrm>
          <a:off x="4624252" y="60958"/>
          <a:ext cx="1350880" cy="963198"/>
        </a:xfrm>
        <a:prstGeom prst="roundRect">
          <a:avLst>
            <a:gd name="adj" fmla="val 848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52252</xdr:colOff>
      <xdr:row>3</xdr:row>
      <xdr:rowOff>60958</xdr:rowOff>
    </xdr:from>
    <xdr:to>
      <xdr:col>1</xdr:col>
      <xdr:colOff>200297</xdr:colOff>
      <xdr:row>16</xdr:row>
      <xdr:rowOff>136634</xdr:rowOff>
    </xdr:to>
    <xdr:sp macro="" textlink="">
      <xdr:nvSpPr>
        <xdr:cNvPr id="10" name="Rectangle: Rounded Corners 9">
          <a:extLst>
            <a:ext uri="{FF2B5EF4-FFF2-40B4-BE49-F238E27FC236}">
              <a16:creationId xmlns:a16="http://schemas.microsoft.com/office/drawing/2014/main" id="{4C1FF3B1-8ECE-F9D0-5927-D823AD1E9DDC}"/>
            </a:ext>
          </a:extLst>
        </xdr:cNvPr>
        <xdr:cNvSpPr/>
      </xdr:nvSpPr>
      <xdr:spPr>
        <a:xfrm>
          <a:off x="52252" y="612751"/>
          <a:ext cx="757645" cy="2466780"/>
        </a:xfrm>
        <a:prstGeom prst="roundRect">
          <a:avLst>
            <a:gd name="adj" fmla="val 1239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230777</xdr:colOff>
      <xdr:row>3</xdr:row>
      <xdr:rowOff>60958</xdr:rowOff>
    </xdr:from>
    <xdr:to>
      <xdr:col>3</xdr:col>
      <xdr:colOff>264162</xdr:colOff>
      <xdr:row>6</xdr:row>
      <xdr:rowOff>126273</xdr:rowOff>
    </xdr:to>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316146E1-026D-ADB7-116B-96C6983F4918}"/>
            </a:ext>
          </a:extLst>
        </xdr:cNvPr>
        <xdr:cNvSpPr/>
      </xdr:nvSpPr>
      <xdr:spPr>
        <a:xfrm>
          <a:off x="840377" y="612751"/>
          <a:ext cx="1252585" cy="617108"/>
        </a:xfrm>
        <a:prstGeom prst="roundRect">
          <a:avLst>
            <a:gd name="adj" fmla="val 751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303423</xdr:colOff>
      <xdr:row>3</xdr:row>
      <xdr:rowOff>65312</xdr:rowOff>
    </xdr:from>
    <xdr:to>
      <xdr:col>5</xdr:col>
      <xdr:colOff>336808</xdr:colOff>
      <xdr:row>6</xdr:row>
      <xdr:rowOff>130627</xdr:rowOff>
    </xdr:to>
    <xdr:sp macro="" textlink="">
      <xdr:nvSpPr>
        <xdr:cNvPr id="15" name="Rectangle: Rounded Corners 14">
          <a:extLst>
            <a:ext uri="{FF2B5EF4-FFF2-40B4-BE49-F238E27FC236}">
              <a16:creationId xmlns:a16="http://schemas.microsoft.com/office/drawing/2014/main" id="{E8EAD406-9B97-387E-AF5C-EEB4962F790D}"/>
            </a:ext>
          </a:extLst>
        </xdr:cNvPr>
        <xdr:cNvSpPr/>
      </xdr:nvSpPr>
      <xdr:spPr>
        <a:xfrm>
          <a:off x="2132223" y="617105"/>
          <a:ext cx="1252585" cy="617108"/>
        </a:xfrm>
        <a:prstGeom prst="roundRect">
          <a:avLst>
            <a:gd name="adj" fmla="val 751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367379</xdr:colOff>
      <xdr:row>3</xdr:row>
      <xdr:rowOff>60958</xdr:rowOff>
    </xdr:from>
    <xdr:to>
      <xdr:col>7</xdr:col>
      <xdr:colOff>326571</xdr:colOff>
      <xdr:row>6</xdr:row>
      <xdr:rowOff>126273</xdr:rowOff>
    </xdr:to>
    <xdr:sp macro="" textlink="">
      <xdr:nvSpPr>
        <xdr:cNvPr id="16" name="Rectangle: Rounded Corners 15">
          <a:extLst>
            <a:ext uri="{FF2B5EF4-FFF2-40B4-BE49-F238E27FC236}">
              <a16:creationId xmlns:a16="http://schemas.microsoft.com/office/drawing/2014/main" id="{551E35C3-6432-516E-FD1E-BE94DFE9D921}"/>
            </a:ext>
          </a:extLst>
        </xdr:cNvPr>
        <xdr:cNvSpPr/>
      </xdr:nvSpPr>
      <xdr:spPr>
        <a:xfrm>
          <a:off x="3415379" y="612751"/>
          <a:ext cx="1178392" cy="617108"/>
        </a:xfrm>
        <a:prstGeom prst="roundRect">
          <a:avLst>
            <a:gd name="adj" fmla="val 751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528070</xdr:colOff>
      <xdr:row>0</xdr:row>
      <xdr:rowOff>60958</xdr:rowOff>
    </xdr:from>
    <xdr:to>
      <xdr:col>11</xdr:col>
      <xdr:colOff>562303</xdr:colOff>
      <xdr:row>5</xdr:row>
      <xdr:rowOff>104501</xdr:rowOff>
    </xdr:to>
    <xdr:sp macro="" textlink="">
      <xdr:nvSpPr>
        <xdr:cNvPr id="19" name="Rectangle: Rounded Corners 18">
          <a:extLst>
            <a:ext uri="{FF2B5EF4-FFF2-40B4-BE49-F238E27FC236}">
              <a16:creationId xmlns:a16="http://schemas.microsoft.com/office/drawing/2014/main" id="{C94C26A7-8A83-9D85-3054-11E80E76C8F7}"/>
            </a:ext>
          </a:extLst>
        </xdr:cNvPr>
        <xdr:cNvSpPr/>
      </xdr:nvSpPr>
      <xdr:spPr>
        <a:xfrm>
          <a:off x="6014470" y="60958"/>
          <a:ext cx="1253433" cy="963198"/>
        </a:xfrm>
        <a:prstGeom prst="roundRect">
          <a:avLst>
            <a:gd name="adj" fmla="val 848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230776</xdr:colOff>
      <xdr:row>9</xdr:row>
      <xdr:rowOff>105252</xdr:rowOff>
    </xdr:from>
    <xdr:to>
      <xdr:col>7</xdr:col>
      <xdr:colOff>330925</xdr:colOff>
      <xdr:row>16</xdr:row>
      <xdr:rowOff>126123</xdr:rowOff>
    </xdr:to>
    <xdr:sp macro="" textlink="">
      <xdr:nvSpPr>
        <xdr:cNvPr id="21" name="Rectangle: Rounded Corners 20">
          <a:extLst>
            <a:ext uri="{FF2B5EF4-FFF2-40B4-BE49-F238E27FC236}">
              <a16:creationId xmlns:a16="http://schemas.microsoft.com/office/drawing/2014/main" id="{C8099529-C3C3-784D-0693-A0C746BC1E66}"/>
            </a:ext>
          </a:extLst>
        </xdr:cNvPr>
        <xdr:cNvSpPr/>
      </xdr:nvSpPr>
      <xdr:spPr>
        <a:xfrm>
          <a:off x="840376" y="1760631"/>
          <a:ext cx="3757749" cy="1308389"/>
        </a:xfrm>
        <a:prstGeom prst="roundRect">
          <a:avLst>
            <a:gd name="adj" fmla="val 349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230777</xdr:colOff>
      <xdr:row>6</xdr:row>
      <xdr:rowOff>161109</xdr:rowOff>
    </xdr:from>
    <xdr:to>
      <xdr:col>7</xdr:col>
      <xdr:colOff>322217</xdr:colOff>
      <xdr:row>9</xdr:row>
      <xdr:rowOff>91441</xdr:rowOff>
    </xdr:to>
    <xdr:sp macro="" textlink="">
      <xdr:nvSpPr>
        <xdr:cNvPr id="22" name="Rectangle: Rounded Corners 21">
          <a:extLst>
            <a:ext uri="{FF2B5EF4-FFF2-40B4-BE49-F238E27FC236}">
              <a16:creationId xmlns:a16="http://schemas.microsoft.com/office/drawing/2014/main" id="{BC41A1D2-F808-D348-EBFE-2080A9A6B455}"/>
            </a:ext>
          </a:extLst>
        </xdr:cNvPr>
        <xdr:cNvSpPr/>
      </xdr:nvSpPr>
      <xdr:spPr>
        <a:xfrm>
          <a:off x="840377" y="1264695"/>
          <a:ext cx="3749040" cy="482125"/>
        </a:xfrm>
        <a:prstGeom prst="roundRect">
          <a:avLst>
            <a:gd name="adj" fmla="val 751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361407</xdr:colOff>
      <xdr:row>5</xdr:row>
      <xdr:rowOff>131381</xdr:rowOff>
    </xdr:from>
    <xdr:to>
      <xdr:col>11</xdr:col>
      <xdr:colOff>562303</xdr:colOff>
      <xdr:row>16</xdr:row>
      <xdr:rowOff>120869</xdr:rowOff>
    </xdr:to>
    <xdr:sp macro="" textlink="">
      <xdr:nvSpPr>
        <xdr:cNvPr id="28" name="Rectangle: Rounded Corners 27">
          <a:extLst>
            <a:ext uri="{FF2B5EF4-FFF2-40B4-BE49-F238E27FC236}">
              <a16:creationId xmlns:a16="http://schemas.microsoft.com/office/drawing/2014/main" id="{6E2F30E4-53AE-83D0-7BFC-23598FEF26EF}"/>
            </a:ext>
          </a:extLst>
        </xdr:cNvPr>
        <xdr:cNvSpPr/>
      </xdr:nvSpPr>
      <xdr:spPr>
        <a:xfrm>
          <a:off x="4628607" y="1051036"/>
          <a:ext cx="2639296" cy="2012730"/>
        </a:xfrm>
        <a:prstGeom prst="roundRect">
          <a:avLst>
            <a:gd name="adj" fmla="val 419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239486</xdr:colOff>
      <xdr:row>0</xdr:row>
      <xdr:rowOff>100147</xdr:rowOff>
    </xdr:from>
    <xdr:to>
      <xdr:col>5</xdr:col>
      <xdr:colOff>178526</xdr:colOff>
      <xdr:row>1</xdr:row>
      <xdr:rowOff>148044</xdr:rowOff>
    </xdr:to>
    <xdr:sp macro="" textlink="">
      <xdr:nvSpPr>
        <xdr:cNvPr id="29" name="TextBox 28">
          <a:extLst>
            <a:ext uri="{FF2B5EF4-FFF2-40B4-BE49-F238E27FC236}">
              <a16:creationId xmlns:a16="http://schemas.microsoft.com/office/drawing/2014/main" id="{D537A439-FC61-8E93-3335-EED9E3459148}"/>
            </a:ext>
          </a:extLst>
        </xdr:cNvPr>
        <xdr:cNvSpPr txBox="1"/>
      </xdr:nvSpPr>
      <xdr:spPr>
        <a:xfrm>
          <a:off x="849086" y="100147"/>
          <a:ext cx="2377440" cy="230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t>Hospital </a:t>
          </a:r>
          <a:r>
            <a:rPr lang="en-IN" sz="1100" b="1">
              <a:solidFill>
                <a:schemeClr val="dk1"/>
              </a:solidFill>
            </a:rPr>
            <a:t>Emergency</a:t>
          </a:r>
          <a:r>
            <a:rPr lang="en-IN" sz="1100" b="1" baseline="0"/>
            <a:t> Room Dashboard</a:t>
          </a:r>
          <a:endParaRPr lang="en-IN" sz="1100" b="1"/>
        </a:p>
      </xdr:txBody>
    </xdr:sp>
    <xdr:clientData/>
  </xdr:twoCellAnchor>
  <xdr:twoCellAnchor editAs="absolute">
    <xdr:from>
      <xdr:col>2</xdr:col>
      <xdr:colOff>274321</xdr:colOff>
      <xdr:row>1</xdr:row>
      <xdr:rowOff>126274</xdr:rowOff>
    </xdr:from>
    <xdr:to>
      <xdr:col>3</xdr:col>
      <xdr:colOff>579121</xdr:colOff>
      <xdr:row>3</xdr:row>
      <xdr:rowOff>8708</xdr:rowOff>
    </xdr:to>
    <xdr:sp macro="" textlink="">
      <xdr:nvSpPr>
        <xdr:cNvPr id="30" name="TextBox 29">
          <a:extLst>
            <a:ext uri="{FF2B5EF4-FFF2-40B4-BE49-F238E27FC236}">
              <a16:creationId xmlns:a16="http://schemas.microsoft.com/office/drawing/2014/main" id="{2E5C0D9B-09A0-354F-96B0-95D5C684641C}"/>
            </a:ext>
          </a:extLst>
        </xdr:cNvPr>
        <xdr:cNvSpPr txBox="1"/>
      </xdr:nvSpPr>
      <xdr:spPr>
        <a:xfrm>
          <a:off x="1493521" y="309154"/>
          <a:ext cx="914400" cy="248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Montly Report</a:t>
          </a:r>
        </a:p>
      </xdr:txBody>
    </xdr:sp>
    <xdr:clientData/>
  </xdr:twoCellAnchor>
  <xdr:twoCellAnchor editAs="absolute">
    <xdr:from>
      <xdr:col>0</xdr:col>
      <xdr:colOff>99847</xdr:colOff>
      <xdr:row>0</xdr:row>
      <xdr:rowOff>57808</xdr:rowOff>
    </xdr:from>
    <xdr:to>
      <xdr:col>1</xdr:col>
      <xdr:colOff>94592</xdr:colOff>
      <xdr:row>2</xdr:row>
      <xdr:rowOff>147145</xdr:rowOff>
    </xdr:to>
    <xdr:pic>
      <xdr:nvPicPr>
        <xdr:cNvPr id="32" name="Picture 31">
          <a:extLst>
            <a:ext uri="{FF2B5EF4-FFF2-40B4-BE49-F238E27FC236}">
              <a16:creationId xmlns:a16="http://schemas.microsoft.com/office/drawing/2014/main" id="{5DAF6529-4B32-2827-A2AB-F3D0F59F2D6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2728" r="20129" b="17304"/>
        <a:stretch>
          <a:fillRect/>
        </a:stretch>
      </xdr:blipFill>
      <xdr:spPr>
        <a:xfrm>
          <a:off x="99847" y="57808"/>
          <a:ext cx="604345" cy="457199"/>
        </a:xfrm>
        <a:prstGeom prst="rect">
          <a:avLst/>
        </a:prstGeom>
      </xdr:spPr>
    </xdr:pic>
    <xdr:clientData/>
  </xdr:twoCellAnchor>
  <xdr:twoCellAnchor editAs="absolute">
    <xdr:from>
      <xdr:col>1</xdr:col>
      <xdr:colOff>484528</xdr:colOff>
      <xdr:row>4</xdr:row>
      <xdr:rowOff>78977</xdr:rowOff>
    </xdr:from>
    <xdr:to>
      <xdr:col>2</xdr:col>
      <xdr:colOff>557048</xdr:colOff>
      <xdr:row>5</xdr:row>
      <xdr:rowOff>52552</xdr:rowOff>
    </xdr:to>
    <xdr:sp macro="" textlink="">
      <xdr:nvSpPr>
        <xdr:cNvPr id="35" name="TextBox 34">
          <a:extLst>
            <a:ext uri="{FF2B5EF4-FFF2-40B4-BE49-F238E27FC236}">
              <a16:creationId xmlns:a16="http://schemas.microsoft.com/office/drawing/2014/main" id="{523653A4-000A-8246-9732-A762F662D0D6}"/>
            </a:ext>
          </a:extLst>
        </xdr:cNvPr>
        <xdr:cNvSpPr txBox="1"/>
      </xdr:nvSpPr>
      <xdr:spPr>
        <a:xfrm>
          <a:off x="1094128" y="814701"/>
          <a:ext cx="682120" cy="157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No</a:t>
          </a:r>
          <a:r>
            <a:rPr lang="en-IN" sz="900" baseline="0"/>
            <a:t> of Patients</a:t>
          </a:r>
          <a:endParaRPr lang="en-IN" sz="900"/>
        </a:p>
      </xdr:txBody>
    </xdr:sp>
    <xdr:clientData/>
  </xdr:twoCellAnchor>
  <xdr:twoCellAnchor editAs="absolute">
    <xdr:from>
      <xdr:col>2</xdr:col>
      <xdr:colOff>121920</xdr:colOff>
      <xdr:row>3</xdr:row>
      <xdr:rowOff>78975</xdr:rowOff>
    </xdr:from>
    <xdr:to>
      <xdr:col>2</xdr:col>
      <xdr:colOff>367862</xdr:colOff>
      <xdr:row>4</xdr:row>
      <xdr:rowOff>78828</xdr:rowOff>
    </xdr:to>
    <xdr:sp macro="" textlink="'Pivot Report'!A4">
      <xdr:nvSpPr>
        <xdr:cNvPr id="36" name="TextBox 35">
          <a:extLst>
            <a:ext uri="{FF2B5EF4-FFF2-40B4-BE49-F238E27FC236}">
              <a16:creationId xmlns:a16="http://schemas.microsoft.com/office/drawing/2014/main" id="{E0208241-FE62-05E0-3F2A-EE528F762809}"/>
            </a:ext>
          </a:extLst>
        </xdr:cNvPr>
        <xdr:cNvSpPr txBox="1"/>
      </xdr:nvSpPr>
      <xdr:spPr>
        <a:xfrm>
          <a:off x="1341120" y="630768"/>
          <a:ext cx="245942" cy="183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6618FE70-935D-4F82-BFA4-47D410AB8B43}" type="TxLink">
            <a:rPr lang="en-US" sz="1100" b="0" i="0" u="none" strike="noStrike">
              <a:solidFill>
                <a:srgbClr val="000000"/>
              </a:solidFill>
              <a:latin typeface="Calibri"/>
              <a:ea typeface="Calibri"/>
              <a:cs typeface="Calibri"/>
            </a:rPr>
            <a:pPr/>
            <a:t>513</a:t>
          </a:fld>
          <a:endParaRPr lang="en-IN" sz="900"/>
        </a:p>
      </xdr:txBody>
    </xdr:sp>
    <xdr:clientData/>
  </xdr:twoCellAnchor>
  <xdr:twoCellAnchor editAs="absolute">
    <xdr:from>
      <xdr:col>3</xdr:col>
      <xdr:colOff>536026</xdr:colOff>
      <xdr:row>4</xdr:row>
      <xdr:rowOff>73721</xdr:rowOff>
    </xdr:from>
    <xdr:to>
      <xdr:col>5</xdr:col>
      <xdr:colOff>337382</xdr:colOff>
      <xdr:row>5</xdr:row>
      <xdr:rowOff>140086</xdr:rowOff>
    </xdr:to>
    <xdr:sp macro="" textlink="">
      <xdr:nvSpPr>
        <xdr:cNvPr id="37" name="TextBox 36">
          <a:extLst>
            <a:ext uri="{FF2B5EF4-FFF2-40B4-BE49-F238E27FC236}">
              <a16:creationId xmlns:a16="http://schemas.microsoft.com/office/drawing/2014/main" id="{FD68BAD5-B5A4-AC26-6409-FABA0EBD84F6}"/>
            </a:ext>
          </a:extLst>
        </xdr:cNvPr>
        <xdr:cNvSpPr txBox="1"/>
      </xdr:nvSpPr>
      <xdr:spPr>
        <a:xfrm>
          <a:off x="2364826" y="809445"/>
          <a:ext cx="1020556" cy="250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Avg.</a:t>
          </a:r>
          <a:r>
            <a:rPr lang="en-IN" sz="900" baseline="0"/>
            <a:t> Wait Time</a:t>
          </a:r>
          <a:endParaRPr lang="en-IN" sz="900"/>
        </a:p>
      </xdr:txBody>
    </xdr:sp>
    <xdr:clientData/>
  </xdr:twoCellAnchor>
  <xdr:twoCellAnchor editAs="absolute">
    <xdr:from>
      <xdr:col>4</xdr:col>
      <xdr:colOff>158706</xdr:colOff>
      <xdr:row>3</xdr:row>
      <xdr:rowOff>84232</xdr:rowOff>
    </xdr:from>
    <xdr:to>
      <xdr:col>4</xdr:col>
      <xdr:colOff>536026</xdr:colOff>
      <xdr:row>4</xdr:row>
      <xdr:rowOff>150597</xdr:rowOff>
    </xdr:to>
    <xdr:sp macro="" textlink="'Pivot Report'!A8">
      <xdr:nvSpPr>
        <xdr:cNvPr id="38" name="TextBox 37">
          <a:extLst>
            <a:ext uri="{FF2B5EF4-FFF2-40B4-BE49-F238E27FC236}">
              <a16:creationId xmlns:a16="http://schemas.microsoft.com/office/drawing/2014/main" id="{43A7C01C-E7C1-7472-96AF-CB580CC7CF49}"/>
            </a:ext>
          </a:extLst>
        </xdr:cNvPr>
        <xdr:cNvSpPr txBox="1"/>
      </xdr:nvSpPr>
      <xdr:spPr>
        <a:xfrm>
          <a:off x="2597106" y="636025"/>
          <a:ext cx="377320" cy="250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348EBD0-A999-4544-A73D-9010A0F31550}" type="TxLink">
            <a:rPr lang="en-US" sz="1100" b="0" i="0" u="none" strike="noStrike">
              <a:solidFill>
                <a:srgbClr val="000000"/>
              </a:solidFill>
              <a:latin typeface="Calibri"/>
              <a:ea typeface="Calibri"/>
              <a:cs typeface="Calibri"/>
            </a:rPr>
            <a:pPr/>
            <a:t>36.32</a:t>
          </a:fld>
          <a:endParaRPr lang="en-IN" sz="900"/>
        </a:p>
      </xdr:txBody>
    </xdr:sp>
    <xdr:clientData/>
  </xdr:twoCellAnchor>
  <xdr:twoCellAnchor editAs="absolute">
    <xdr:from>
      <xdr:col>5</xdr:col>
      <xdr:colOff>367861</xdr:colOff>
      <xdr:row>4</xdr:row>
      <xdr:rowOff>99997</xdr:rowOff>
    </xdr:from>
    <xdr:to>
      <xdr:col>7</xdr:col>
      <xdr:colOff>346840</xdr:colOff>
      <xdr:row>5</xdr:row>
      <xdr:rowOff>162911</xdr:rowOff>
    </xdr:to>
    <xdr:sp macro="" textlink="">
      <xdr:nvSpPr>
        <xdr:cNvPr id="39" name="TextBox 38">
          <a:extLst>
            <a:ext uri="{FF2B5EF4-FFF2-40B4-BE49-F238E27FC236}">
              <a16:creationId xmlns:a16="http://schemas.microsoft.com/office/drawing/2014/main" id="{B61C82F8-6F0C-52A3-4678-625E2C31D69E}"/>
            </a:ext>
          </a:extLst>
        </xdr:cNvPr>
        <xdr:cNvSpPr txBox="1"/>
      </xdr:nvSpPr>
      <xdr:spPr>
        <a:xfrm>
          <a:off x="3415861" y="835721"/>
          <a:ext cx="1198179" cy="246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60"/>
            <a:t>Patients</a:t>
          </a:r>
          <a:r>
            <a:rPr lang="en-IN" sz="860" baseline="0"/>
            <a:t> Satisfaction Score</a:t>
          </a:r>
          <a:endParaRPr lang="en-IN" sz="860"/>
        </a:p>
      </xdr:txBody>
    </xdr:sp>
    <xdr:clientData/>
  </xdr:twoCellAnchor>
  <xdr:twoCellAnchor editAs="absolute">
    <xdr:from>
      <xdr:col>6</xdr:col>
      <xdr:colOff>179729</xdr:colOff>
      <xdr:row>3</xdr:row>
      <xdr:rowOff>99996</xdr:rowOff>
    </xdr:from>
    <xdr:to>
      <xdr:col>6</xdr:col>
      <xdr:colOff>557049</xdr:colOff>
      <xdr:row>4</xdr:row>
      <xdr:rowOff>166361</xdr:rowOff>
    </xdr:to>
    <xdr:sp macro="" textlink="'Pivot Report'!A12">
      <xdr:nvSpPr>
        <xdr:cNvPr id="40" name="TextBox 39">
          <a:extLst>
            <a:ext uri="{FF2B5EF4-FFF2-40B4-BE49-F238E27FC236}">
              <a16:creationId xmlns:a16="http://schemas.microsoft.com/office/drawing/2014/main" id="{D95571E7-9006-264C-385E-66DD1F26F448}"/>
            </a:ext>
          </a:extLst>
        </xdr:cNvPr>
        <xdr:cNvSpPr txBox="1"/>
      </xdr:nvSpPr>
      <xdr:spPr>
        <a:xfrm>
          <a:off x="3837329" y="651789"/>
          <a:ext cx="377320" cy="250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27E8976-D65D-4F59-9205-0CB4A786D1E6}" type="TxLink">
            <a:rPr lang="en-US" sz="1100" b="0" i="0" u="none" strike="noStrike">
              <a:solidFill>
                <a:srgbClr val="000000"/>
              </a:solidFill>
              <a:latin typeface="Calibri"/>
              <a:ea typeface="Calibri"/>
              <a:cs typeface="Calibri"/>
            </a:rPr>
            <a:pPr/>
            <a:t>4.96</a:t>
          </a:fld>
          <a:endParaRPr lang="en-IN" sz="900"/>
        </a:p>
      </xdr:txBody>
    </xdr:sp>
    <xdr:clientData/>
  </xdr:twoCellAnchor>
  <xdr:twoCellAnchor editAs="oneCell">
    <xdr:from>
      <xdr:col>2</xdr:col>
      <xdr:colOff>584490</xdr:colOff>
      <xdr:row>3</xdr:row>
      <xdr:rowOff>93542</xdr:rowOff>
    </xdr:from>
    <xdr:to>
      <xdr:col>3</xdr:col>
      <xdr:colOff>248793</xdr:colOff>
      <xdr:row>5</xdr:row>
      <xdr:rowOff>0</xdr:rowOff>
    </xdr:to>
    <xdr:pic>
      <xdr:nvPicPr>
        <xdr:cNvPr id="42" name="Graphic 41" descr="Male profile with solid fill">
          <a:extLst>
            <a:ext uri="{FF2B5EF4-FFF2-40B4-BE49-F238E27FC236}">
              <a16:creationId xmlns:a16="http://schemas.microsoft.com/office/drawing/2014/main" id="{E49D59CB-80F6-A796-E656-FCFF4F3B02D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03690" y="642182"/>
          <a:ext cx="273903" cy="272218"/>
        </a:xfrm>
        <a:prstGeom prst="rect">
          <a:avLst/>
        </a:prstGeom>
      </xdr:spPr>
    </xdr:pic>
    <xdr:clientData/>
  </xdr:twoCellAnchor>
  <xdr:twoCellAnchor editAs="oneCell">
    <xdr:from>
      <xdr:col>5</xdr:col>
      <xdr:colOff>30480</xdr:colOff>
      <xdr:row>3</xdr:row>
      <xdr:rowOff>115464</xdr:rowOff>
    </xdr:from>
    <xdr:to>
      <xdr:col>5</xdr:col>
      <xdr:colOff>278183</xdr:colOff>
      <xdr:row>4</xdr:row>
      <xdr:rowOff>178662</xdr:rowOff>
    </xdr:to>
    <xdr:pic>
      <xdr:nvPicPr>
        <xdr:cNvPr id="48" name="Graphic 47" descr="Customer review with solid fill">
          <a:extLst>
            <a:ext uri="{FF2B5EF4-FFF2-40B4-BE49-F238E27FC236}">
              <a16:creationId xmlns:a16="http://schemas.microsoft.com/office/drawing/2014/main" id="{F5D7BC46-987E-91F6-3CBD-75E82352033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78480" y="664104"/>
          <a:ext cx="247703" cy="246078"/>
        </a:xfrm>
        <a:prstGeom prst="rect">
          <a:avLst/>
        </a:prstGeom>
      </xdr:spPr>
    </xdr:pic>
    <xdr:clientData/>
  </xdr:twoCellAnchor>
  <xdr:twoCellAnchor editAs="oneCell">
    <xdr:from>
      <xdr:col>7</xdr:col>
      <xdr:colOff>79278</xdr:colOff>
      <xdr:row>3</xdr:row>
      <xdr:rowOff>84232</xdr:rowOff>
    </xdr:from>
    <xdr:to>
      <xdr:col>7</xdr:col>
      <xdr:colOff>296993</xdr:colOff>
      <xdr:row>4</xdr:row>
      <xdr:rowOff>119067</xdr:rowOff>
    </xdr:to>
    <xdr:pic>
      <xdr:nvPicPr>
        <xdr:cNvPr id="6" name="Graphic 5" descr="Hourglass Finished with solid fill">
          <a:extLst>
            <a:ext uri="{FF2B5EF4-FFF2-40B4-BE49-F238E27FC236}">
              <a16:creationId xmlns:a16="http://schemas.microsoft.com/office/drawing/2014/main" id="{9E6C8EA0-3F71-D786-A5E7-4B8BD4A2C8C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46478" y="636025"/>
          <a:ext cx="217715" cy="218766"/>
        </a:xfrm>
        <a:prstGeom prst="rect">
          <a:avLst/>
        </a:prstGeom>
      </xdr:spPr>
    </xdr:pic>
    <xdr:clientData/>
  </xdr:twoCellAnchor>
  <xdr:twoCellAnchor editAs="oneCell">
    <xdr:from>
      <xdr:col>0</xdr:col>
      <xdr:colOff>78827</xdr:colOff>
      <xdr:row>3</xdr:row>
      <xdr:rowOff>110358</xdr:rowOff>
    </xdr:from>
    <xdr:to>
      <xdr:col>1</xdr:col>
      <xdr:colOff>178676</xdr:colOff>
      <xdr:row>16</xdr:row>
      <xdr:rowOff>89337</xdr:rowOff>
    </xdr:to>
    <mc:AlternateContent xmlns:mc="http://schemas.openxmlformats.org/markup-compatibility/2006" xmlns:a14="http://schemas.microsoft.com/office/drawing/2010/main">
      <mc:Choice Requires="a14">
        <xdr:graphicFrame macro="">
          <xdr:nvGraphicFramePr>
            <xdr:cNvPr id="8" name="Date (Month) 1">
              <a:extLst>
                <a:ext uri="{FF2B5EF4-FFF2-40B4-BE49-F238E27FC236}">
                  <a16:creationId xmlns:a16="http://schemas.microsoft.com/office/drawing/2014/main" id="{BC86893C-B498-43F9-AB5E-B420D2A44B62}"/>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78827" y="662151"/>
              <a:ext cx="709449" cy="2370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231228</xdr:colOff>
      <xdr:row>5</xdr:row>
      <xdr:rowOff>47297</xdr:rowOff>
    </xdr:from>
    <xdr:to>
      <xdr:col>3</xdr:col>
      <xdr:colOff>262759</xdr:colOff>
      <xdr:row>6</xdr:row>
      <xdr:rowOff>136636</xdr:rowOff>
    </xdr:to>
    <xdr:graphicFrame macro="">
      <xdr:nvGraphicFramePr>
        <xdr:cNvPr id="9" name="Chart 8">
          <a:hlinkClick xmlns:r="http://schemas.openxmlformats.org/officeDocument/2006/relationships" r:id="rId1"/>
          <a:extLst>
            <a:ext uri="{FF2B5EF4-FFF2-40B4-BE49-F238E27FC236}">
              <a16:creationId xmlns:a16="http://schemas.microsoft.com/office/drawing/2014/main" id="{BCAACB5E-FA7B-4C3A-BD1D-606ABD37A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299545</xdr:colOff>
      <xdr:row>5</xdr:row>
      <xdr:rowOff>47296</xdr:rowOff>
    </xdr:from>
    <xdr:to>
      <xdr:col>5</xdr:col>
      <xdr:colOff>346840</xdr:colOff>
      <xdr:row>6</xdr:row>
      <xdr:rowOff>136634</xdr:rowOff>
    </xdr:to>
    <xdr:graphicFrame macro="">
      <xdr:nvGraphicFramePr>
        <xdr:cNvPr id="3" name="Chart 2">
          <a:hlinkClick xmlns:r="http://schemas.openxmlformats.org/officeDocument/2006/relationships" r:id="rId10"/>
          <a:extLst>
            <a:ext uri="{FF2B5EF4-FFF2-40B4-BE49-F238E27FC236}">
              <a16:creationId xmlns:a16="http://schemas.microsoft.com/office/drawing/2014/main" id="{4B657348-4958-4897-9E83-CB1F18924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367862</xdr:colOff>
      <xdr:row>5</xdr:row>
      <xdr:rowOff>26278</xdr:rowOff>
    </xdr:from>
    <xdr:to>
      <xdr:col>7</xdr:col>
      <xdr:colOff>325821</xdr:colOff>
      <xdr:row>6</xdr:row>
      <xdr:rowOff>126125</xdr:rowOff>
    </xdr:to>
    <xdr:graphicFrame macro="">
      <xdr:nvGraphicFramePr>
        <xdr:cNvPr id="12" name="Chart 11">
          <a:hlinkClick xmlns:r="http://schemas.openxmlformats.org/officeDocument/2006/relationships" r:id="rId12"/>
          <a:extLst>
            <a:ext uri="{FF2B5EF4-FFF2-40B4-BE49-F238E27FC236}">
              <a16:creationId xmlns:a16="http://schemas.microsoft.com/office/drawing/2014/main" id="{C8144EF2-521A-4FC0-9ED6-162FC877B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236480</xdr:colOff>
          <xdr:row>6</xdr:row>
          <xdr:rowOff>147146</xdr:rowOff>
        </xdr:from>
        <xdr:to>
          <xdr:col>7</xdr:col>
          <xdr:colOff>331076</xdr:colOff>
          <xdr:row>9</xdr:row>
          <xdr:rowOff>73573</xdr:rowOff>
        </xdr:to>
        <xdr:pic>
          <xdr:nvPicPr>
            <xdr:cNvPr id="24" name="Picture 23">
              <a:extLst>
                <a:ext uri="{FF2B5EF4-FFF2-40B4-BE49-F238E27FC236}">
                  <a16:creationId xmlns:a16="http://schemas.microsoft.com/office/drawing/2014/main" id="{8716342D-41DA-31EE-F850-212B93E2272E}"/>
                </a:ext>
              </a:extLst>
            </xdr:cNvPr>
            <xdr:cNvPicPr>
              <a:picLocks noChangeAspect="1" noChangeArrowheads="1"/>
              <a:extLst>
                <a:ext uri="{84589F7E-364E-4C9E-8A38-B11213B215E9}">
                  <a14:cameraTool cellRange="'Pivot Report'!$A$48:$D$50" spid="_x0000_s1055"/>
                </a:ext>
              </a:extLst>
            </xdr:cNvPicPr>
          </xdr:nvPicPr>
          <xdr:blipFill>
            <a:blip xmlns:r="http://schemas.openxmlformats.org/officeDocument/2006/relationships" r:embed="rId14"/>
            <a:srcRect/>
            <a:stretch>
              <a:fillRect/>
            </a:stretch>
          </xdr:blipFill>
          <xdr:spPr bwMode="auto">
            <a:xfrm>
              <a:off x="846080" y="1250732"/>
              <a:ext cx="3752196" cy="47822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257502</xdr:colOff>
      <xdr:row>9</xdr:row>
      <xdr:rowOff>131379</xdr:rowOff>
    </xdr:from>
    <xdr:to>
      <xdr:col>7</xdr:col>
      <xdr:colOff>273267</xdr:colOff>
      <xdr:row>15</xdr:row>
      <xdr:rowOff>168166</xdr:rowOff>
    </xdr:to>
    <xdr:graphicFrame macro="">
      <xdr:nvGraphicFramePr>
        <xdr:cNvPr id="25" name="Chart 24">
          <a:extLst>
            <a:ext uri="{FF2B5EF4-FFF2-40B4-BE49-F238E27FC236}">
              <a16:creationId xmlns:a16="http://schemas.microsoft.com/office/drawing/2014/main" id="{76CBEB04-1857-4174-A832-6C4A9E651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237533</xdr:colOff>
      <xdr:row>15</xdr:row>
      <xdr:rowOff>126271</xdr:rowOff>
    </xdr:from>
    <xdr:to>
      <xdr:col>5</xdr:col>
      <xdr:colOff>425668</xdr:colOff>
      <xdr:row>16</xdr:row>
      <xdr:rowOff>99847</xdr:rowOff>
    </xdr:to>
    <xdr:sp macro="" textlink="">
      <xdr:nvSpPr>
        <xdr:cNvPr id="26" name="TextBox 25">
          <a:extLst>
            <a:ext uri="{FF2B5EF4-FFF2-40B4-BE49-F238E27FC236}">
              <a16:creationId xmlns:a16="http://schemas.microsoft.com/office/drawing/2014/main" id="{82F2101F-218F-A1C9-AD4E-3EE49B1BB1AC}"/>
            </a:ext>
          </a:extLst>
        </xdr:cNvPr>
        <xdr:cNvSpPr txBox="1"/>
      </xdr:nvSpPr>
      <xdr:spPr>
        <a:xfrm>
          <a:off x="2066333" y="2885237"/>
          <a:ext cx="1407335" cy="157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No</a:t>
          </a:r>
          <a:r>
            <a:rPr lang="en-IN" sz="900" baseline="0"/>
            <a:t> of Patients by Age Group</a:t>
          </a:r>
          <a:endParaRPr lang="en-IN" sz="900"/>
        </a:p>
      </xdr:txBody>
    </xdr:sp>
    <xdr:clientData/>
  </xdr:twoCellAnchor>
  <xdr:twoCellAnchor>
    <xdr:from>
      <xdr:col>7</xdr:col>
      <xdr:colOff>378372</xdr:colOff>
      <xdr:row>0</xdr:row>
      <xdr:rowOff>89338</xdr:rowOff>
    </xdr:from>
    <xdr:to>
      <xdr:col>9</xdr:col>
      <xdr:colOff>478221</xdr:colOff>
      <xdr:row>4</xdr:row>
      <xdr:rowOff>126124</xdr:rowOff>
    </xdr:to>
    <xdr:graphicFrame macro="">
      <xdr:nvGraphicFramePr>
        <xdr:cNvPr id="41" name="Chart 40">
          <a:extLst>
            <a:ext uri="{FF2B5EF4-FFF2-40B4-BE49-F238E27FC236}">
              <a16:creationId xmlns:a16="http://schemas.microsoft.com/office/drawing/2014/main" id="{56DA512A-84A3-4AED-ABED-B86D1DD1F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552844</xdr:colOff>
      <xdr:row>4</xdr:row>
      <xdr:rowOff>136634</xdr:rowOff>
    </xdr:from>
    <xdr:to>
      <xdr:col>9</xdr:col>
      <xdr:colOff>415159</xdr:colOff>
      <xdr:row>5</xdr:row>
      <xdr:rowOff>68317</xdr:rowOff>
    </xdr:to>
    <xdr:sp macro="" textlink="">
      <xdr:nvSpPr>
        <xdr:cNvPr id="13" name="TextBox 12">
          <a:extLst>
            <a:ext uri="{FF2B5EF4-FFF2-40B4-BE49-F238E27FC236}">
              <a16:creationId xmlns:a16="http://schemas.microsoft.com/office/drawing/2014/main" id="{6F787B40-5E5D-E65E-4F6C-2F3D02D2AEFF}"/>
            </a:ext>
          </a:extLst>
        </xdr:cNvPr>
        <xdr:cNvSpPr txBox="1"/>
      </xdr:nvSpPr>
      <xdr:spPr>
        <a:xfrm>
          <a:off x="4820044" y="872358"/>
          <a:ext cx="1081515" cy="115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aseline="0"/>
            <a:t>Patients Attend Status</a:t>
          </a:r>
          <a:endParaRPr lang="en-IN" sz="900"/>
        </a:p>
      </xdr:txBody>
    </xdr:sp>
    <xdr:clientData/>
  </xdr:twoCellAnchor>
  <xdr:twoCellAnchor>
    <xdr:from>
      <xdr:col>9</xdr:col>
      <xdr:colOff>546539</xdr:colOff>
      <xdr:row>0</xdr:row>
      <xdr:rowOff>84083</xdr:rowOff>
    </xdr:from>
    <xdr:to>
      <xdr:col>11</xdr:col>
      <xdr:colOff>536029</xdr:colOff>
      <xdr:row>4</xdr:row>
      <xdr:rowOff>147145</xdr:rowOff>
    </xdr:to>
    <xdr:graphicFrame macro="">
      <xdr:nvGraphicFramePr>
        <xdr:cNvPr id="14" name="Chart 13">
          <a:extLst>
            <a:ext uri="{FF2B5EF4-FFF2-40B4-BE49-F238E27FC236}">
              <a16:creationId xmlns:a16="http://schemas.microsoft.com/office/drawing/2014/main" id="{A7D83AA3-0282-40C9-B24D-F4076AAB1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10</xdr:col>
      <xdr:colOff>48347</xdr:colOff>
      <xdr:row>4</xdr:row>
      <xdr:rowOff>136634</xdr:rowOff>
    </xdr:from>
    <xdr:to>
      <xdr:col>11</xdr:col>
      <xdr:colOff>520262</xdr:colOff>
      <xdr:row>5</xdr:row>
      <xdr:rowOff>105103</xdr:rowOff>
    </xdr:to>
    <xdr:sp macro="" textlink="">
      <xdr:nvSpPr>
        <xdr:cNvPr id="17" name="TextBox 16">
          <a:extLst>
            <a:ext uri="{FF2B5EF4-FFF2-40B4-BE49-F238E27FC236}">
              <a16:creationId xmlns:a16="http://schemas.microsoft.com/office/drawing/2014/main" id="{796237AE-36DD-CB56-9FBE-CEC2206B1615}"/>
            </a:ext>
          </a:extLst>
        </xdr:cNvPr>
        <xdr:cNvSpPr txBox="1"/>
      </xdr:nvSpPr>
      <xdr:spPr>
        <a:xfrm>
          <a:off x="6144347" y="872358"/>
          <a:ext cx="1081515"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aseline="0"/>
            <a:t>Gender Wise Analysis</a:t>
          </a:r>
          <a:endParaRPr lang="en-IN" sz="900"/>
        </a:p>
      </xdr:txBody>
    </xdr:sp>
    <xdr:clientData/>
  </xdr:twoCellAnchor>
  <xdr:twoCellAnchor>
    <xdr:from>
      <xdr:col>7</xdr:col>
      <xdr:colOff>388882</xdr:colOff>
      <xdr:row>5</xdr:row>
      <xdr:rowOff>173420</xdr:rowOff>
    </xdr:from>
    <xdr:to>
      <xdr:col>11</xdr:col>
      <xdr:colOff>530771</xdr:colOff>
      <xdr:row>15</xdr:row>
      <xdr:rowOff>89337</xdr:rowOff>
    </xdr:to>
    <xdr:graphicFrame macro="">
      <xdr:nvGraphicFramePr>
        <xdr:cNvPr id="18" name="Chart 17">
          <a:extLst>
            <a:ext uri="{FF2B5EF4-FFF2-40B4-BE49-F238E27FC236}">
              <a16:creationId xmlns:a16="http://schemas.microsoft.com/office/drawing/2014/main" id="{378C49A8-537D-43D8-AACF-37C86ADB2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221768</xdr:colOff>
      <xdr:row>15</xdr:row>
      <xdr:rowOff>121018</xdr:rowOff>
    </xdr:from>
    <xdr:to>
      <xdr:col>11</xdr:col>
      <xdr:colOff>173421</xdr:colOff>
      <xdr:row>16</xdr:row>
      <xdr:rowOff>63063</xdr:rowOff>
    </xdr:to>
    <xdr:sp macro="" textlink="">
      <xdr:nvSpPr>
        <xdr:cNvPr id="20" name="TextBox 19">
          <a:extLst>
            <a:ext uri="{FF2B5EF4-FFF2-40B4-BE49-F238E27FC236}">
              <a16:creationId xmlns:a16="http://schemas.microsoft.com/office/drawing/2014/main" id="{DEAEF890-D17C-407F-13D4-4EA5E7999120}"/>
            </a:ext>
          </a:extLst>
        </xdr:cNvPr>
        <xdr:cNvSpPr txBox="1"/>
      </xdr:nvSpPr>
      <xdr:spPr>
        <a:xfrm>
          <a:off x="5098568" y="2879984"/>
          <a:ext cx="1780453" cy="125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No</a:t>
          </a:r>
          <a:r>
            <a:rPr lang="en-IN" sz="900" baseline="0"/>
            <a:t> of Patients by Department Referal</a:t>
          </a:r>
          <a:endParaRPr lang="en-IN" sz="900"/>
        </a:p>
      </xdr:txBody>
    </xdr:sp>
    <xdr:clientData/>
  </xdr:twoCellAnchor>
  <xdr:twoCellAnchor editAs="oneCell">
    <xdr:from>
      <xdr:col>5</xdr:col>
      <xdr:colOff>210204</xdr:colOff>
      <xdr:row>0</xdr:row>
      <xdr:rowOff>141890</xdr:rowOff>
    </xdr:from>
    <xdr:to>
      <xdr:col>7</xdr:col>
      <xdr:colOff>271164</xdr:colOff>
      <xdr:row>2</xdr:row>
      <xdr:rowOff>131379</xdr:rowOff>
    </xdr:to>
    <mc:AlternateContent xmlns:mc="http://schemas.openxmlformats.org/markup-compatibility/2006">
      <mc:Choice xmlns:a14="http://schemas.microsoft.com/office/drawing/2010/main" Requires="a14">
        <xdr:graphicFrame macro="">
          <xdr:nvGraphicFramePr>
            <xdr:cNvPr id="23" name="Date (Year)">
              <a:extLst>
                <a:ext uri="{FF2B5EF4-FFF2-40B4-BE49-F238E27FC236}">
                  <a16:creationId xmlns:a16="http://schemas.microsoft.com/office/drawing/2014/main" id="{3F965BF2-C8AF-4F77-89BC-CD7F0F75D7D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258204" y="141890"/>
              <a:ext cx="1280160" cy="357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60960</xdr:rowOff>
    </xdr:from>
    <xdr:to>
      <xdr:col>12</xdr:col>
      <xdr:colOff>472440</xdr:colOff>
      <xdr:row>21</xdr:row>
      <xdr:rowOff>129540</xdr:rowOff>
    </xdr:to>
    <xdr:graphicFrame macro="">
      <xdr:nvGraphicFramePr>
        <xdr:cNvPr id="3" name="Chart 2">
          <a:extLst>
            <a:ext uri="{FF2B5EF4-FFF2-40B4-BE49-F238E27FC236}">
              <a16:creationId xmlns:a16="http://schemas.microsoft.com/office/drawing/2014/main" id="{835D2E01-2DD5-4FA3-89F8-123B844F4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xdr:colOff>
      <xdr:row>2</xdr:row>
      <xdr:rowOff>99060</xdr:rowOff>
    </xdr:from>
    <xdr:to>
      <xdr:col>0</xdr:col>
      <xdr:colOff>388620</xdr:colOff>
      <xdr:row>4</xdr:row>
      <xdr:rowOff>91440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C7DCCC1D-100E-1FC2-05D9-D79BB37F8AA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480" y="464820"/>
          <a:ext cx="358140" cy="3581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48528</xdr:colOff>
      <xdr:row>2</xdr:row>
      <xdr:rowOff>140369</xdr:rowOff>
    </xdr:from>
    <xdr:to>
      <xdr:col>17</xdr:col>
      <xdr:colOff>250659</xdr:colOff>
      <xdr:row>26</xdr:row>
      <xdr:rowOff>80210</xdr:rowOff>
    </xdr:to>
    <xdr:graphicFrame macro="">
      <xdr:nvGraphicFramePr>
        <xdr:cNvPr id="2" name="Chart 1">
          <a:extLst>
            <a:ext uri="{FF2B5EF4-FFF2-40B4-BE49-F238E27FC236}">
              <a16:creationId xmlns:a16="http://schemas.microsoft.com/office/drawing/2014/main" id="{39430EA4-A789-4305-A735-075576107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0.00479</cdr:x>
      <cdr:y>0.01022</cdr:y>
    </cdr:from>
    <cdr:to>
      <cdr:x>0.04865</cdr:x>
      <cdr:y>0.10368</cdr:y>
    </cdr:to>
    <cdr:pic>
      <cdr:nvPicPr>
        <cdr:cNvPr id="2"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2529263-E23F-48F2-A834-56E58F982B8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64820" cy="46482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2</xdr:row>
      <xdr:rowOff>180473</xdr:rowOff>
    </xdr:from>
    <xdr:to>
      <xdr:col>17</xdr:col>
      <xdr:colOff>370974</xdr:colOff>
      <xdr:row>26</xdr:row>
      <xdr:rowOff>150395</xdr:rowOff>
    </xdr:to>
    <xdr:graphicFrame macro="">
      <xdr:nvGraphicFramePr>
        <xdr:cNvPr id="3" name="Chart 2">
          <a:extLst>
            <a:ext uri="{FF2B5EF4-FFF2-40B4-BE49-F238E27FC236}">
              <a16:creationId xmlns:a16="http://schemas.microsoft.com/office/drawing/2014/main" id="{53DA56FB-AE89-4318-A47A-1A5D18926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0.00472</cdr:x>
      <cdr:y>0.01181</cdr:y>
    </cdr:from>
    <cdr:to>
      <cdr:x>0.04788</cdr:x>
      <cdr:y>0.10462</cdr:y>
    </cdr:to>
    <cdr:pic>
      <cdr:nvPicPr>
        <cdr:cNvPr id="2"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E3355FB-A8F5-43F0-BE0F-E90BA929AB1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64820" cy="39922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jender" refreshedDate="46187.566734722219" createdVersion="5" refreshedVersion="8" minRefreshableVersion="3" recordCount="0" supportSubquery="1" supportAdvancedDrill="1" xr:uid="{C9534586-735D-4C61-86AB-4CA5A09B463A}">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 Status]" caption="Patient_Attend Status" attribute="1" defaultMemberUniqueName="[Hospital Emergency Room Data].[Patient_Attend Status].[All]" allUniqueName="[Hospital Emergency Room Data].[Patient_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 Status]" caption="Count of Patient_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jender" refreshedDate="46187.566734837965" createdVersion="5" refreshedVersion="8" minRefreshableVersion="3" recordCount="0" supportSubquery="1" supportAdvancedDrill="1" xr:uid="{82205934-8D8E-446E-8549-E0F4D2EF2A01}">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 Status]" caption="Patient_Attend Status" attribute="1" defaultMemberUniqueName="[Hospital Emergency Room Data].[Patient_Attend Status].[All]" allUniqueName="[Hospital Emergency Room Data].[Patient_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 Status]" caption="Count of Patient_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jender" refreshedDate="46187.566734953703" createdVersion="5" refreshedVersion="8" minRefreshableVersion="3" recordCount="0" supportSubquery="1" supportAdvancedDrill="1" xr:uid="{9BD272C6-3238-4767-81A4-296387276501}">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 Status]" caption="Patient_Attend Status" attribute="1" defaultMemberUniqueName="[Hospital Emergency Room Data].[Patient_Attend Status].[All]" allUniqueName="[Hospital Emergency Room Data].[Patient_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 Status]" caption="Count of Patient_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jender" refreshedDate="46187.566735416665" createdVersion="5" refreshedVersion="8" minRefreshableVersion="3" recordCount="0" supportSubquery="1" supportAdvancedDrill="1" xr:uid="{4503C4F1-DFF8-4949-A53E-6682A7214F4D}">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 Status]" caption="Patient_Attend Status" attribute="1" defaultMemberUniqueName="[Hospital Emergency Room Data].[Patient_Attend Status].[All]" allUniqueName="[Hospital Emergency Room Data].[Patient_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 Status]" caption="Count of Patient_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jender" refreshedDate="46187.566735879627" createdVersion="5" refreshedVersion="8" minRefreshableVersion="3" recordCount="0" supportSubquery="1" supportAdvancedDrill="1" xr:uid="{68E48C15-3F1E-49C0-AACF-415698091B64}">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 Status]" caption="Patient_Attend Status" attribute="1" defaultMemberUniqueName="[Hospital Emergency Room Data].[Patient_Attend Status].[All]" allUniqueName="[Hospital Emergency Room Data].[Patient_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 Status]" caption="Count of Patient_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jender" refreshedDate="46187.566736574074" createdVersion="5" refreshedVersion="8" minRefreshableVersion="3" recordCount="0" supportSubquery="1" supportAdvancedDrill="1" xr:uid="{972965B2-482B-4B53-A574-4ECC4A8DF5EA}">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Sum of Patient Satisfaction Score]" caption="Sum of Patient Satisfaction Score" numFmtId="0" hierarchy="27"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 Status]" caption="Patient_Attend Status" attribute="1" defaultMemberUniqueName="[Hospital Emergency Room Data].[Patient_Attend Status].[All]" allUniqueName="[Hospital Emergency Room Data].[Patient_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 Status]" caption="Count of Patient_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jender" refreshedDate="46187.566737037036" createdVersion="5" refreshedVersion="8" minRefreshableVersion="3" recordCount="0" supportSubquery="1" supportAdvancedDrill="1" xr:uid="{77A0FF27-CA2B-4AE1-89DF-9E3DAD94E702}">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 Status]" caption="Patient_Attend Status" attribute="1" defaultMemberUniqueName="[Hospital Emergency Room Data].[Patient_Attend Status].[All]" allUniqueName="[Hospital Emergency Room Data].[Patient_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 Status]" caption="Count of Patient_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jender" refreshedDate="46187.566737384259" createdVersion="5" refreshedVersion="8" minRefreshableVersion="3" recordCount="0" supportSubquery="1" supportAdvancedDrill="1" xr:uid="{9245E97B-B5E0-49A6-97FA-EA96483DB989}">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_Group].[Age_Group]" caption="Age_Group" numFmtId="0" hierarchy="16" level="1">
      <sharedItems count="8">
        <s v="0-9"/>
        <s v="10-19"/>
        <s v="20-29"/>
        <s v="30-39"/>
        <s v="40-49"/>
        <s v="50-59"/>
        <s v="60-69"/>
        <s v="70-79"/>
      </sharedItems>
    </cacheField>
    <cacheField name="[Measures].[Count of Age_Group]" caption="Count of Age_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fieldsUsage count="2">
        <fieldUsage x="-1"/>
        <fieldUsage x="1"/>
      </fieldsUsage>
    </cacheHierarchy>
    <cacheHierarchy uniqueName="[Hospital Emergency Room Data].[Patient_Attend Status]" caption="Patient_Attend Status" attribute="1" defaultMemberUniqueName="[Hospital Emergency Room Data].[Patient_Attend Status].[All]" allUniqueName="[Hospital Emergency Room Data].[Patient_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_Attend Status]" caption="Count of Patient_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jender" refreshedDate="46187.566737731482" createdVersion="5" refreshedVersion="8" minRefreshableVersion="3" recordCount="0" supportSubquery="1" supportAdvancedDrill="1" xr:uid="{494C89A4-63E2-4154-B3DF-F77220F82AC2}">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_Group].[Age_Group]" caption="Age_Group" numFmtId="0" hierarchy="16" level="1">
      <sharedItems count="8">
        <s v="0-9"/>
        <s v="10-19"/>
        <s v="20-29"/>
        <s v="30-39"/>
        <s v="40-49"/>
        <s v="50-59"/>
        <s v="60-69"/>
        <s v="70-79"/>
      </sharedItems>
    </cacheField>
    <cacheField name="[Measures].[Count of Age_Group]" caption="Count of Age_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fieldsUsage count="2">
        <fieldUsage x="-1"/>
        <fieldUsage x="1"/>
      </fieldsUsage>
    </cacheHierarchy>
    <cacheHierarchy uniqueName="[Hospital Emergency Room Data].[Patient_Attend Status]" caption="Patient_Attend Status" attribute="1" defaultMemberUniqueName="[Hospital Emergency Room Data].[Patient_Attend Status].[All]" allUniqueName="[Hospital Emergency Room Data].[Patient_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_Attend Status]" caption="Count of Patient_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jender" refreshedDate="46187.566738078705" createdVersion="5" refreshedVersion="8" minRefreshableVersion="3" recordCount="0" supportSubquery="1" supportAdvancedDrill="1" xr:uid="{1730FD85-36C2-4532-AE10-9C7465AC2C77}">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_Attend Status].[Patient_Attend Status]" caption="Patient_Attend Status" numFmtId="0" hierarchy="17" level="1">
      <sharedItems count="2">
        <s v="Delay"/>
        <s v="On Time"/>
      </sharedItems>
    </cacheField>
    <cacheField name="[Measures].[Count of Patient_Attend Status]" caption="Count of Patient_Attend Status"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 Status]" caption="Patient_Attend Status" attribute="1" defaultMemberUniqueName="[Hospital Emergency Room Data].[Patient_Attend Status].[All]" allUniqueName="[Hospital Emergency Room Data].[Patient_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 Status]" caption="Count of Patient_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jender" refreshedDate="46187.566738773145" createdVersion="5" refreshedVersion="8" minRefreshableVersion="3" recordCount="0" supportSubquery="1" supportAdvancedDrill="1" xr:uid="{038EF8BC-C515-42E1-90E3-D9FFDCC98610}">
  <cacheSource type="external" connectionId="3"/>
  <cacheFields count="4">
    <cacheField name="[Calender_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Patient Gender].[Patient Gender]" caption="Patient Gender" numFmtId="0" hierarchy="9" level="1">
      <sharedItems count="2">
        <s v="Female"/>
        <s v="Male"/>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 Status]" caption="Patient_Attend Status" attribute="1" defaultMemberUniqueName="[Hospital Emergency Room Data].[Patient_Attend Status].[All]" allUniqueName="[Hospital Emergency Room Data].[Patient_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 Status]" caption="Count of Patient_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jender" refreshedDate="46187.566739236114" createdVersion="5" refreshedVersion="8" minRefreshableVersion="3" recordCount="0" supportSubquery="1" supportAdvancedDrill="1" xr:uid="{83BBB3B9-5329-41A9-826C-CD4AEC95E737}">
  <cacheSource type="external" connectionId="3"/>
  <cacheFields count="4">
    <cacheField name="[Calender_Table].[Date (Month)].[Date (Month)]" caption="Date (Month)" numFmtId="0" hierarchy="1" level="1">
      <sharedItems containsSemiMixedTypes="0" containsNonDate="0" containsString="0"/>
    </cacheField>
    <cacheField name="[Measures].[Count of Department Referral]" caption="Count of Department Referral" numFmtId="0" hierarchy="3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 Status]" caption="Patient_Attend Status" attribute="1" defaultMemberUniqueName="[Hospital Emergency Room Data].[Patient_Attend Status].[All]" allUniqueName="[Hospital Emergency Room Data].[Patient_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 Status]" caption="Count of Patient_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jender" refreshedDate="46187.56673958333" createdVersion="5" refreshedVersion="8" minRefreshableVersion="3" recordCount="0" supportSubquery="1" supportAdvancedDrill="1" xr:uid="{E35109C5-595A-4F71-98D2-596EA041BBBD}">
  <cacheSource type="external" connectionId="3"/>
  <cacheFields count="4">
    <cacheField name="[Calender_Table].[Date (Month)].[Date (Month)]" caption="Date (Month)" numFmtId="0" hierarchy="1" level="1">
      <sharedItems count="1">
        <s v="Aug"/>
      </sharedItems>
    </cacheField>
    <cacheField name="[Calender_Table].[Date].[Date]" caption="Date" numFmtId="0" level="1">
      <sharedItems containsSemiMixedTypes="0" containsNonDate="0" containsDate="1" containsString="0" minDate="2023-08-01T00:00:00" maxDate="2024-09-01T00:00:00" count="62">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er_Table].[Date (Quarter)].[Date (Quarter)]" caption="Date (Quarter)" numFmtId="0" hierarchy="4" level="1">
      <sharedItems count="1">
        <s v="Qtr3"/>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cacheHierarchy uniqueName="[Hospital Emergency Room Data].[Patient_Attend Status]" caption="Patient_Attend Status" attribute="1" defaultMemberUniqueName="[Hospital Emergency Room Data].[Patient_Attend Status].[All]" allUniqueName="[Hospital Emergency Room Data].[Patient_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 Status]" caption="Count of Patient_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jender" refreshedDate="46187.561234837965" createdVersion="3" refreshedVersion="8" minRefreshableVersion="3" recordCount="0" supportSubquery="1" supportAdvancedDrill="1" xr:uid="{46A0C3F4-553B-4844-A0B9-3E06EB73E2C9}">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 Status]" caption="Patient_Attend Status" attribute="1" defaultMemberUniqueName="[Hospital Emergency Room Data].[Patient_Attend Status].[All]" allUniqueName="[Hospital Emergency Room Data].[Patient_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 Status]" caption="Count of Patient_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1114222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11D68A-A36F-475F-AE32-EA0179F05237}" name="PivotTable13" cacheId="1939" applyNumberFormats="0" applyBorderFormats="0" applyFontFormats="0" applyPatternFormats="0" applyAlignmentFormats="0" applyWidthHeightFormats="1" dataCaption="Values" tag="4dcf56b6-278a-42b2-a46f-bc37cb46075e" updatedVersion="8" minRefreshableVersion="3" subtotalHiddenItems="1" itemPrintTitles="1" createdVersion="5" indent="0" outline="1" outlineData="1" multipleFieldFilters="0" chartFormat="31">
  <location ref="A101:A103"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479">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62C53B-42BC-41EE-BC33-05DCD208497C}" name="PivotTable12" cacheId="1936" applyNumberFormats="0" applyBorderFormats="0" applyFontFormats="0" applyPatternFormats="0" applyAlignmentFormats="0" applyWidthHeightFormats="1" dataCaption="Values" tag="4dcf56b6-278a-42b2-a46f-bc37cb46075e" updatedVersion="8" minRefreshableVersion="3" subtotalHiddenItems="1" itemPrintTitles="1" createdVersion="5" indent="0" outline="1" outlineData="1" multipleFieldFilters="0" chartFormat="31">
  <location ref="A89:B9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1"/>
    </i>
    <i>
      <x v="7"/>
    </i>
    <i>
      <x v="3"/>
    </i>
    <i>
      <x v="6"/>
    </i>
    <i>
      <x/>
    </i>
    <i>
      <x v="5"/>
    </i>
    <i>
      <x v="2"/>
    </i>
    <i>
      <x v="4"/>
    </i>
    <i t="grand">
      <x/>
    </i>
  </rowItems>
  <colItems count="1">
    <i/>
  </colItems>
  <dataFields count="1">
    <dataField name="Count of Department Referral" fld="1" subtotal="count" baseField="0" baseItem="0"/>
  </dataFields>
  <formats count="1">
    <format dxfId="512">
      <pivotArea outline="0" collapsedLevelsAreSubtotals="1" fieldPosition="0"/>
    </format>
  </formats>
  <chartFormats count="1">
    <chartFormat chart="3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A8EF1F-1B97-4298-AB31-D79B60E4E983}" name="PivotTable11" cacheId="1933" applyNumberFormats="0" applyBorderFormats="0" applyFontFormats="0" applyPatternFormats="0" applyAlignmentFormats="0" applyWidthHeightFormats="1" dataCaption="Values" tag="4dcf56b6-278a-42b2-a46f-bc37cb46075e" updatedVersion="8" minRefreshableVersion="3" subtotalHiddenItems="1" itemPrintTitles="1" createdVersion="5" indent="0" outline="1" outlineData="1" multipleFieldFilters="0" chartFormat="28">
  <location ref="A83:B8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513">
      <pivotArea outline="0" collapsedLevelsAreSubtotals="1" fieldPosition="0"/>
    </format>
  </formats>
  <chartFormats count="3">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2" count="1" selected="0">
            <x v="0"/>
          </reference>
        </references>
      </pivotArea>
    </chartFormat>
    <chartFormat chart="27"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5CBDC6-A2B9-4AA7-A478-50452C97FE0F}" name="PivotTable5" cacheId="1915" applyNumberFormats="0" applyBorderFormats="0" applyFontFormats="0" applyPatternFormats="0" applyAlignmentFormats="0" applyWidthHeightFormats="1" dataCaption="Values" tag="ac6052bd-1171-40b8-ab33-2bc14ab04758" updatedVersion="8" minRefreshableVersion="3" subtotalHiddenItems="1" itemPrintTitles="1" createdVersion="5" indent="0" outline="1" outlineData="1" multipleFieldFilters="0" chartFormat="22">
  <location ref="J5:K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514">
      <pivotArea outline="0" collapsedLevelsAreSubtotals="1" fieldPosition="0"/>
    </format>
  </formats>
  <chartFormats count="2">
    <chartFormat chart="15"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BDB718-67F5-474F-8226-6890366C4765}" name="PivotTable10" cacheId="1930" applyNumberFormats="0" applyBorderFormats="0" applyFontFormats="0" applyPatternFormats="0" applyAlignmentFormats="0" applyWidthHeightFormats="1" dataCaption="Values" tag="4dcf56b6-278a-42b2-a46f-bc37cb46075e" updatedVersion="8" minRefreshableVersion="3" subtotalHiddenItems="1" itemPrintTitles="1" createdVersion="5" indent="0" outline="1" outlineData="1" multipleFieldFilters="0" chartFormat="24">
  <location ref="A77:B8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_Attend Status" fld="2" subtotal="count" baseField="0" baseItem="0"/>
  </dataFields>
  <formats count="1">
    <format dxfId="515">
      <pivotArea outline="0" collapsedLevelsAreSubtotals="1" fieldPosition="0"/>
    </format>
  </formats>
  <chartFormats count="15">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1" count="1" selected="0">
            <x v="0"/>
          </reference>
        </references>
      </pivotArea>
    </chartFormat>
    <chartFormat chart="19" format="3">
      <pivotArea type="data" outline="0" fieldPosition="0">
        <references count="2">
          <reference field="4294967294" count="1" selected="0">
            <x v="0"/>
          </reference>
          <reference field="1"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5E64D9-AC28-4D01-881E-41846438D5A9}" name="PivotTable9" cacheId="1927" applyNumberFormats="0" applyBorderFormats="0" applyFontFormats="0" applyPatternFormats="0" applyAlignmentFormats="0" applyWidthHeightFormats="1" dataCaption="Values" tag="4dcf56b6-278a-42b2-a46f-bc37cb46075e" updatedVersion="8" minRefreshableVersion="3" subtotalHiddenItems="1" itemPrintTitles="1" createdVersion="5" indent="0" outline="1" outlineData="1" multipleFieldFilters="0" chartFormat="4">
  <location ref="A65:B7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_Group" fld="2" subtotal="count" baseField="0" baseItem="0"/>
  </dataFields>
  <formats count="1">
    <format dxfId="516">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50B814-9E9A-4711-BCB7-2B784938B00E}" name="PivotTable4" cacheId="1903" applyNumberFormats="0" applyBorderFormats="0" applyFontFormats="0" applyPatternFormats="0" applyAlignmentFormats="0" applyWidthHeightFormats="1" dataCaption="Values" tag="ac6052bd-1171-40b8-ab33-2bc14ab04758" updatedVersion="8" minRefreshableVersion="3" subtotalHiddenItems="1" itemPrintTitles="1" createdVersion="5" indent="0" outline="1" outlineData="1" multipleFieldFilters="0" chartFormat="14">
  <location ref="F5:G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3EB46D-2718-4A61-A470-FAE2977E5286}" name="PivotTable8" cacheId="1924" applyNumberFormats="0" applyBorderFormats="0" applyFontFormats="0" applyPatternFormats="0" applyAlignmentFormats="0" applyWidthHeightFormats="1" dataCaption="Values" tag="4dcf56b6-278a-42b2-a46f-bc37cb46075e" updatedVersion="8" minRefreshableVersion="3" subtotalHiddenItems="1" itemPrintTitles="1" createdVersion="5" indent="0" outline="1" outlineData="1" multipleFieldFilters="0" chartFormat="4">
  <location ref="A53:B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_Group" fld="2" subtotal="count" baseField="0" baseItem="0"/>
  </dataFields>
  <formats count="1">
    <format dxfId="51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C6E794-EC0D-4CAB-8DE4-04A98D84AF68}" name="PivotTable1" cacheId="1906" applyNumberFormats="0" applyBorderFormats="0" applyFontFormats="0" applyPatternFormats="0" applyAlignmentFormats="0" applyWidthHeightFormats="1" dataCaption="Values" tag="ac6052bd-1171-40b8-ab33-2bc14ab04758" updatedVersion="8"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2BFA12-2121-4014-8244-4313EABA0552}" name="PivotTable3" cacheId="1912" applyNumberFormats="0" applyBorderFormats="0" applyFontFormats="0" applyPatternFormats="0" applyAlignmentFormats="0" applyWidthHeightFormats="1" dataCaption="Values" tag="4dcf56b6-278a-42b2-a46f-bc37cb46075e"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18">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7EAAF1-C79D-4D36-838C-BE54E2C3C416}" name="PivotTable7" cacheId="1921" applyNumberFormats="0" applyBorderFormats="0" applyFontFormats="0" applyPatternFormats="0" applyAlignmentFormats="0" applyWidthHeightFormats="1" dataCaption="Values" tag="4dcf56b6-278a-42b2-a46f-bc37cb46075e" updatedVersion="8" minRefreshableVersion="3" subtotalHiddenItems="1" itemPrintTitles="1" createdVersion="5" indent="0" outline="1" outlineData="1" multipleFieldFilters="0" chartFormat="1">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520">
      <pivotArea outline="0" collapsedLevelsAreSubtotals="1" fieldPosition="0"/>
    </format>
    <format dxfId="519">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785007-9CBE-4017-BE7C-E0030C4B5B09}" name="PivotTable2" cacheId="1909" applyNumberFormats="0" applyBorderFormats="0" applyFontFormats="0" applyPatternFormats="0" applyAlignmentFormats="0" applyWidthHeightFormats="1" dataCaption="Values" tag="4961c8d3-524a-4eb5-8df8-e43587c47569"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21">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A77233B-0A9F-4264-BEC8-9114BEE27765}" name="PivotTable6" cacheId="1918" applyNumberFormats="0" applyBorderFormats="0" applyFontFormats="0" applyPatternFormats="0" applyAlignmentFormats="0" applyWidthHeightFormats="1" dataCaption="Values" tag="ac6052bd-1171-40b8-ab33-2bc14ab04758" updatedVersion="8" minRefreshableVersion="3" subtotalHiddenItems="1" itemPrintTitles="1" createdVersion="5" indent="0" outline="1" outlineData="1" multipleFieldFilters="0" chartFormat="27">
  <location ref="M5:N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Patient Satisfaction Score" fld="2" baseField="0" baseItem="0"/>
  </dataFields>
  <formats count="1">
    <format dxfId="522">
      <pivotArea outline="0" collapsedLevelsAreSubtotals="1" fieldPosition="0"/>
    </format>
  </formats>
  <chartFormats count="2">
    <chartFormat chart="23"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4275B7D-8C3A-469F-A3A5-F921273DDD31}"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s>
  <data>
    <olap pivotCacheId="2111422286">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4788F6A-08C8-40CF-B2E7-43AAC6F768A4}" sourceName="[Calende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111422286">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328D8F18-09B9-4008-8167-B67DB137731F}" cache="Slicer_Date__Month" caption="Date (Month)" showCaption="0" level="1" style="My" rowHeight="155448"/>
  <slicer name="Date (Year)" xr10:uid="{2C139E4A-B98E-4DB5-9AFB-0BC6D955EF83}" cache="Slicer_Date__Year" caption="Date (Year)" columnCount="2" showCaption="0" level="1" style="My Style"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F3D48-0EEF-4370-B41C-DC1A7D265442}">
  <dimension ref="A2:N103"/>
  <sheetViews>
    <sheetView topLeftCell="A90" zoomScale="115" zoomScaleNormal="130" workbookViewId="0">
      <selection activeCell="A101" sqref="A101:B110"/>
    </sheetView>
  </sheetViews>
  <sheetFormatPr defaultRowHeight="14.4" x14ac:dyDescent="0.3"/>
  <cols>
    <col min="1" max="1" width="16.109375" customWidth="1"/>
    <col min="2" max="2" width="28.109375" bestFit="1" customWidth="1"/>
    <col min="3" max="3" width="9.6640625" customWidth="1"/>
    <col min="4" max="4" width="20.6640625" customWidth="1"/>
    <col min="6" max="6" width="26" bestFit="1" customWidth="1"/>
    <col min="7" max="7" width="23.77734375" customWidth="1"/>
    <col min="10" max="10" width="16.77734375" bestFit="1" customWidth="1"/>
    <col min="11" max="11" width="25.33203125" bestFit="1" customWidth="1"/>
    <col min="13" max="13" width="12.5546875" bestFit="1" customWidth="1"/>
    <col min="14" max="14" width="29.21875" bestFit="1" customWidth="1"/>
  </cols>
  <sheetData>
    <row r="2" spans="1:14" x14ac:dyDescent="0.3">
      <c r="A2" t="s">
        <v>3</v>
      </c>
    </row>
    <row r="3" spans="1:14" x14ac:dyDescent="0.3">
      <c r="A3" t="s">
        <v>0</v>
      </c>
    </row>
    <row r="4" spans="1:14" x14ac:dyDescent="0.3">
      <c r="A4" s="17">
        <v>513</v>
      </c>
      <c r="F4" t="s">
        <v>7</v>
      </c>
      <c r="J4" t="s">
        <v>8</v>
      </c>
    </row>
    <row r="5" spans="1:14" x14ac:dyDescent="0.3">
      <c r="F5" s="3" t="s">
        <v>4</v>
      </c>
      <c r="G5" t="s">
        <v>0</v>
      </c>
      <c r="J5" s="3" t="s">
        <v>4</v>
      </c>
      <c r="K5" t="s">
        <v>1</v>
      </c>
      <c r="M5" s="3" t="s">
        <v>4</v>
      </c>
      <c r="N5" t="s">
        <v>10</v>
      </c>
    </row>
    <row r="6" spans="1:14" x14ac:dyDescent="0.3">
      <c r="F6" s="4" t="s">
        <v>32</v>
      </c>
      <c r="G6" s="17">
        <v>19</v>
      </c>
      <c r="J6" s="4" t="s">
        <v>32</v>
      </c>
      <c r="K6" s="1">
        <v>37.789473684210527</v>
      </c>
      <c r="M6" s="4" t="s">
        <v>32</v>
      </c>
      <c r="N6" s="1">
        <v>40</v>
      </c>
    </row>
    <row r="7" spans="1:14" x14ac:dyDescent="0.3">
      <c r="A7" t="s">
        <v>1</v>
      </c>
      <c r="F7" s="4" t="s">
        <v>33</v>
      </c>
      <c r="G7" s="17">
        <v>14</v>
      </c>
      <c r="J7" s="4" t="s">
        <v>33</v>
      </c>
      <c r="K7" s="1">
        <v>38.214285714285715</v>
      </c>
      <c r="M7" s="4" t="s">
        <v>33</v>
      </c>
      <c r="N7" s="1">
        <v>21</v>
      </c>
    </row>
    <row r="8" spans="1:14" x14ac:dyDescent="0.3">
      <c r="A8" s="1">
        <v>36.323586744639378</v>
      </c>
      <c r="F8" s="4" t="s">
        <v>34</v>
      </c>
      <c r="G8" s="17">
        <v>13</v>
      </c>
      <c r="J8" s="4" t="s">
        <v>34</v>
      </c>
      <c r="K8" s="1">
        <v>40.92307692307692</v>
      </c>
      <c r="M8" s="4" t="s">
        <v>34</v>
      </c>
      <c r="N8" s="1">
        <v>9</v>
      </c>
    </row>
    <row r="9" spans="1:14" x14ac:dyDescent="0.3">
      <c r="F9" s="4" t="s">
        <v>35</v>
      </c>
      <c r="G9" s="17">
        <v>22</v>
      </c>
      <c r="J9" s="4" t="s">
        <v>35</v>
      </c>
      <c r="K9" s="1">
        <v>34.5</v>
      </c>
      <c r="M9" s="4" t="s">
        <v>35</v>
      </c>
      <c r="N9" s="1">
        <v>24</v>
      </c>
    </row>
    <row r="10" spans="1:14" x14ac:dyDescent="0.3">
      <c r="F10" s="4" t="s">
        <v>36</v>
      </c>
      <c r="G10" s="17">
        <v>19</v>
      </c>
      <c r="J10" s="4" t="s">
        <v>36</v>
      </c>
      <c r="K10" s="1">
        <v>30.684210526315791</v>
      </c>
      <c r="M10" s="4" t="s">
        <v>36</v>
      </c>
      <c r="N10" s="1">
        <v>31</v>
      </c>
    </row>
    <row r="11" spans="1:14" x14ac:dyDescent="0.3">
      <c r="A11" t="s">
        <v>2</v>
      </c>
      <c r="F11" s="4" t="s">
        <v>37</v>
      </c>
      <c r="G11" s="17">
        <v>15</v>
      </c>
      <c r="J11" s="4" t="s">
        <v>37</v>
      </c>
      <c r="K11" s="1">
        <v>37.666666666666664</v>
      </c>
      <c r="M11" s="4" t="s">
        <v>37</v>
      </c>
      <c r="N11" s="1">
        <v>31</v>
      </c>
    </row>
    <row r="12" spans="1:14" x14ac:dyDescent="0.3">
      <c r="A12" s="1">
        <v>4.9591836734693882</v>
      </c>
      <c r="F12" s="4" t="s">
        <v>38</v>
      </c>
      <c r="G12" s="17">
        <v>12</v>
      </c>
      <c r="J12" s="4" t="s">
        <v>38</v>
      </c>
      <c r="K12" s="1">
        <v>36.083333333333336</v>
      </c>
      <c r="M12" s="4" t="s">
        <v>38</v>
      </c>
      <c r="N12" s="1">
        <v>15</v>
      </c>
    </row>
    <row r="13" spans="1:14" x14ac:dyDescent="0.3">
      <c r="F13" s="4" t="s">
        <v>39</v>
      </c>
      <c r="G13" s="17">
        <v>21</v>
      </c>
      <c r="J13" s="4" t="s">
        <v>39</v>
      </c>
      <c r="K13" s="1">
        <v>43.523809523809526</v>
      </c>
      <c r="M13" s="4" t="s">
        <v>39</v>
      </c>
      <c r="N13" s="1">
        <v>39</v>
      </c>
    </row>
    <row r="14" spans="1:14" x14ac:dyDescent="0.3">
      <c r="F14" s="4" t="s">
        <v>40</v>
      </c>
      <c r="G14" s="17">
        <v>12</v>
      </c>
      <c r="J14" s="4" t="s">
        <v>40</v>
      </c>
      <c r="K14" s="1">
        <v>29.5</v>
      </c>
      <c r="M14" s="4" t="s">
        <v>40</v>
      </c>
      <c r="N14" s="1">
        <v>6</v>
      </c>
    </row>
    <row r="15" spans="1:14" x14ac:dyDescent="0.3">
      <c r="F15" s="4" t="s">
        <v>41</v>
      </c>
      <c r="G15" s="17">
        <v>13</v>
      </c>
      <c r="J15" s="4" t="s">
        <v>41</v>
      </c>
      <c r="K15" s="1">
        <v>38.07692307692308</v>
      </c>
      <c r="M15" s="4" t="s">
        <v>41</v>
      </c>
      <c r="N15" s="1">
        <v>9</v>
      </c>
    </row>
    <row r="16" spans="1:14" x14ac:dyDescent="0.3">
      <c r="F16" s="4" t="s">
        <v>42</v>
      </c>
      <c r="G16" s="17">
        <v>13</v>
      </c>
      <c r="J16" s="4" t="s">
        <v>42</v>
      </c>
      <c r="K16" s="1">
        <v>35.846153846153847</v>
      </c>
      <c r="M16" s="4" t="s">
        <v>42</v>
      </c>
      <c r="N16" s="1">
        <v>18</v>
      </c>
    </row>
    <row r="17" spans="6:14" x14ac:dyDescent="0.3">
      <c r="F17" s="4" t="s">
        <v>43</v>
      </c>
      <c r="G17" s="17">
        <v>16</v>
      </c>
      <c r="J17" s="4" t="s">
        <v>43</v>
      </c>
      <c r="K17" s="1">
        <v>32.625</v>
      </c>
      <c r="M17" s="4" t="s">
        <v>43</v>
      </c>
      <c r="N17" s="1">
        <v>26</v>
      </c>
    </row>
    <row r="18" spans="6:14" x14ac:dyDescent="0.3">
      <c r="F18" s="4" t="s">
        <v>44</v>
      </c>
      <c r="G18" s="17">
        <v>20</v>
      </c>
      <c r="J18" s="4" t="s">
        <v>44</v>
      </c>
      <c r="K18" s="1">
        <v>39.200000000000003</v>
      </c>
      <c r="M18" s="4" t="s">
        <v>44</v>
      </c>
      <c r="N18" s="1">
        <v>22</v>
      </c>
    </row>
    <row r="19" spans="6:14" x14ac:dyDescent="0.3">
      <c r="F19" s="4" t="s">
        <v>45</v>
      </c>
      <c r="G19" s="17">
        <v>25</v>
      </c>
      <c r="J19" s="4" t="s">
        <v>45</v>
      </c>
      <c r="K19" s="1">
        <v>35.28</v>
      </c>
      <c r="M19" s="4" t="s">
        <v>45</v>
      </c>
      <c r="N19" s="1">
        <v>38</v>
      </c>
    </row>
    <row r="20" spans="6:14" x14ac:dyDescent="0.3">
      <c r="F20" s="4" t="s">
        <v>46</v>
      </c>
      <c r="G20" s="17">
        <v>20</v>
      </c>
      <c r="J20" s="4" t="s">
        <v>46</v>
      </c>
      <c r="K20" s="1">
        <v>32.549999999999997</v>
      </c>
      <c r="M20" s="4" t="s">
        <v>46</v>
      </c>
      <c r="N20" s="1">
        <v>44</v>
      </c>
    </row>
    <row r="21" spans="6:14" x14ac:dyDescent="0.3">
      <c r="F21" s="4" t="s">
        <v>47</v>
      </c>
      <c r="G21" s="17">
        <v>14</v>
      </c>
      <c r="J21" s="4" t="s">
        <v>47</v>
      </c>
      <c r="K21" s="1">
        <v>35.642857142857146</v>
      </c>
      <c r="M21" s="4" t="s">
        <v>47</v>
      </c>
      <c r="N21" s="1">
        <v>35</v>
      </c>
    </row>
    <row r="22" spans="6:14" x14ac:dyDescent="0.3">
      <c r="F22" s="4" t="s">
        <v>48</v>
      </c>
      <c r="G22" s="17">
        <v>17</v>
      </c>
      <c r="J22" s="4" t="s">
        <v>48</v>
      </c>
      <c r="K22" s="1">
        <v>38.764705882352942</v>
      </c>
      <c r="M22" s="4" t="s">
        <v>48</v>
      </c>
      <c r="N22" s="1">
        <v>40</v>
      </c>
    </row>
    <row r="23" spans="6:14" x14ac:dyDescent="0.3">
      <c r="F23" s="4" t="s">
        <v>49</v>
      </c>
      <c r="G23" s="17">
        <v>20</v>
      </c>
      <c r="J23" s="4" t="s">
        <v>49</v>
      </c>
      <c r="K23" s="1">
        <v>39.9</v>
      </c>
      <c r="M23" s="4" t="s">
        <v>49</v>
      </c>
      <c r="N23" s="1">
        <v>16</v>
      </c>
    </row>
    <row r="24" spans="6:14" x14ac:dyDescent="0.3">
      <c r="F24" s="4" t="s">
        <v>50</v>
      </c>
      <c r="G24" s="17">
        <v>10</v>
      </c>
      <c r="J24" s="4" t="s">
        <v>50</v>
      </c>
      <c r="K24" s="1">
        <v>41.6</v>
      </c>
      <c r="M24" s="4" t="s">
        <v>50</v>
      </c>
      <c r="N24" s="1">
        <v>16</v>
      </c>
    </row>
    <row r="25" spans="6:14" x14ac:dyDescent="0.3">
      <c r="F25" s="4" t="s">
        <v>51</v>
      </c>
      <c r="G25" s="17">
        <v>17</v>
      </c>
      <c r="J25" s="4" t="s">
        <v>51</v>
      </c>
      <c r="K25" s="1">
        <v>39.470588235294116</v>
      </c>
      <c r="M25" s="4" t="s">
        <v>51</v>
      </c>
      <c r="N25" s="1">
        <v>39</v>
      </c>
    </row>
    <row r="26" spans="6:14" x14ac:dyDescent="0.3">
      <c r="F26" s="4" t="s">
        <v>52</v>
      </c>
      <c r="G26" s="17">
        <v>15</v>
      </c>
      <c r="J26" s="4" t="s">
        <v>52</v>
      </c>
      <c r="K26" s="1">
        <v>27.733333333333334</v>
      </c>
      <c r="M26" s="4" t="s">
        <v>52</v>
      </c>
      <c r="N26" s="1">
        <v>5</v>
      </c>
    </row>
    <row r="27" spans="6:14" x14ac:dyDescent="0.3">
      <c r="F27" s="4" t="s">
        <v>53</v>
      </c>
      <c r="G27" s="17">
        <v>16</v>
      </c>
      <c r="J27" s="4" t="s">
        <v>53</v>
      </c>
      <c r="K27" s="1">
        <v>36.875</v>
      </c>
      <c r="M27" s="4" t="s">
        <v>53</v>
      </c>
      <c r="N27" s="1">
        <v>32</v>
      </c>
    </row>
    <row r="28" spans="6:14" x14ac:dyDescent="0.3">
      <c r="F28" s="4" t="s">
        <v>54</v>
      </c>
      <c r="G28" s="17">
        <v>18</v>
      </c>
      <c r="J28" s="4" t="s">
        <v>54</v>
      </c>
      <c r="K28" s="1">
        <v>40.333333333333336</v>
      </c>
      <c r="M28" s="4" t="s">
        <v>54</v>
      </c>
      <c r="N28" s="1">
        <v>16</v>
      </c>
    </row>
    <row r="29" spans="6:14" x14ac:dyDescent="0.3">
      <c r="F29" s="4" t="s">
        <v>55</v>
      </c>
      <c r="G29" s="17">
        <v>16</v>
      </c>
      <c r="J29" s="4" t="s">
        <v>55</v>
      </c>
      <c r="K29" s="1">
        <v>36.5</v>
      </c>
      <c r="M29" s="4" t="s">
        <v>55</v>
      </c>
      <c r="N29" s="1">
        <v>15</v>
      </c>
    </row>
    <row r="30" spans="6:14" x14ac:dyDescent="0.3">
      <c r="F30" s="4" t="s">
        <v>56</v>
      </c>
      <c r="G30" s="17">
        <v>15</v>
      </c>
      <c r="J30" s="4" t="s">
        <v>56</v>
      </c>
      <c r="K30" s="1">
        <v>32.866666666666667</v>
      </c>
      <c r="M30" s="4" t="s">
        <v>56</v>
      </c>
      <c r="N30" s="1">
        <v>19</v>
      </c>
    </row>
    <row r="31" spans="6:14" x14ac:dyDescent="0.3">
      <c r="F31" s="4" t="s">
        <v>57</v>
      </c>
      <c r="G31" s="17">
        <v>14</v>
      </c>
      <c r="J31" s="4" t="s">
        <v>57</v>
      </c>
      <c r="K31" s="1">
        <v>36.642857142857146</v>
      </c>
      <c r="M31" s="4" t="s">
        <v>57</v>
      </c>
      <c r="N31" s="1">
        <v>10</v>
      </c>
    </row>
    <row r="32" spans="6:14" x14ac:dyDescent="0.3">
      <c r="F32" s="4" t="s">
        <v>58</v>
      </c>
      <c r="G32" s="17">
        <v>16</v>
      </c>
      <c r="J32" s="4" t="s">
        <v>58</v>
      </c>
      <c r="K32" s="1">
        <v>36.5625</v>
      </c>
      <c r="M32" s="4" t="s">
        <v>58</v>
      </c>
      <c r="N32" s="1">
        <v>35</v>
      </c>
    </row>
    <row r="33" spans="1:14" x14ac:dyDescent="0.3">
      <c r="F33" s="4" t="s">
        <v>59</v>
      </c>
      <c r="G33" s="17">
        <v>20</v>
      </c>
      <c r="J33" s="4" t="s">
        <v>59</v>
      </c>
      <c r="K33" s="1">
        <v>32.15</v>
      </c>
      <c r="M33" s="4" t="s">
        <v>59</v>
      </c>
      <c r="N33" s="1">
        <v>32</v>
      </c>
    </row>
    <row r="34" spans="1:14" x14ac:dyDescent="0.3">
      <c r="F34" s="4" t="s">
        <v>60</v>
      </c>
      <c r="G34" s="17">
        <v>19</v>
      </c>
      <c r="J34" s="4" t="s">
        <v>60</v>
      </c>
      <c r="K34" s="1">
        <v>38.368421052631582</v>
      </c>
      <c r="M34" s="4" t="s">
        <v>60</v>
      </c>
      <c r="N34" s="1">
        <v>24</v>
      </c>
    </row>
    <row r="35" spans="1:14" x14ac:dyDescent="0.3">
      <c r="F35" s="4" t="s">
        <v>61</v>
      </c>
      <c r="G35" s="17">
        <v>14</v>
      </c>
      <c r="J35" s="4" t="s">
        <v>61</v>
      </c>
      <c r="K35" s="1">
        <v>33.071428571428569</v>
      </c>
      <c r="M35" s="4" t="s">
        <v>61</v>
      </c>
      <c r="N35" s="1">
        <v>15</v>
      </c>
    </row>
    <row r="36" spans="1:14" x14ac:dyDescent="0.3">
      <c r="F36" s="4" t="s">
        <v>62</v>
      </c>
      <c r="G36" s="17">
        <v>18</v>
      </c>
      <c r="J36" s="4" t="s">
        <v>62</v>
      </c>
      <c r="K36" s="1">
        <v>36.444444444444443</v>
      </c>
      <c r="M36" s="4" t="s">
        <v>62</v>
      </c>
      <c r="N36" s="1">
        <v>7</v>
      </c>
    </row>
    <row r="37" spans="1:14" x14ac:dyDescent="0.3">
      <c r="F37" s="4" t="s">
        <v>5</v>
      </c>
      <c r="G37" s="17">
        <v>513</v>
      </c>
      <c r="J37" s="4" t="s">
        <v>5</v>
      </c>
      <c r="K37" s="1">
        <v>36.323586744639378</v>
      </c>
      <c r="M37" s="4" t="s">
        <v>5</v>
      </c>
      <c r="N37" s="1">
        <v>729</v>
      </c>
    </row>
    <row r="39" spans="1:14" x14ac:dyDescent="0.3">
      <c r="A39" s="3" t="s">
        <v>4</v>
      </c>
      <c r="B39" t="s">
        <v>12</v>
      </c>
      <c r="C39" t="s">
        <v>15</v>
      </c>
    </row>
    <row r="40" spans="1:14" x14ac:dyDescent="0.3">
      <c r="A40" s="4" t="s">
        <v>13</v>
      </c>
      <c r="B40" s="10">
        <v>269</v>
      </c>
      <c r="C40" s="11">
        <v>0.52436647173489281</v>
      </c>
    </row>
    <row r="41" spans="1:14" x14ac:dyDescent="0.3">
      <c r="A41" s="4" t="s">
        <v>14</v>
      </c>
      <c r="B41" s="10">
        <v>244</v>
      </c>
      <c r="C41" s="11">
        <v>0.47563352826510719</v>
      </c>
    </row>
    <row r="42" spans="1:14" x14ac:dyDescent="0.3">
      <c r="A42" s="4" t="s">
        <v>5</v>
      </c>
      <c r="B42" s="10">
        <v>513</v>
      </c>
      <c r="C42" s="11">
        <v>1</v>
      </c>
    </row>
    <row r="48" spans="1:14" x14ac:dyDescent="0.3">
      <c r="A48" s="12" t="s">
        <v>16</v>
      </c>
      <c r="B48" s="12" t="s">
        <v>17</v>
      </c>
      <c r="C48" s="12" t="s">
        <v>18</v>
      </c>
      <c r="D48" s="13"/>
    </row>
    <row r="49" spans="1:4" ht="16.2" customHeight="1" x14ac:dyDescent="0.3">
      <c r="A49" s="14" t="str">
        <f>A41</f>
        <v>Not Admitted</v>
      </c>
      <c r="B49" s="14">
        <f>B41</f>
        <v>244</v>
      </c>
      <c r="C49" s="15">
        <f>C41</f>
        <v>0.47563352826510719</v>
      </c>
      <c r="D49" s="16"/>
    </row>
    <row r="50" spans="1:4" ht="16.8" customHeight="1" x14ac:dyDescent="0.3">
      <c r="A50" s="14" t="str">
        <f>A40</f>
        <v>Admitted</v>
      </c>
      <c r="B50" s="14">
        <f>B40</f>
        <v>269</v>
      </c>
      <c r="C50" s="15">
        <f>C40</f>
        <v>0.52436647173489281</v>
      </c>
      <c r="D50" s="16"/>
    </row>
    <row r="53" spans="1:4" x14ac:dyDescent="0.3">
      <c r="A53" s="3" t="s">
        <v>4</v>
      </c>
      <c r="B53" t="s">
        <v>27</v>
      </c>
    </row>
    <row r="54" spans="1:4" x14ac:dyDescent="0.3">
      <c r="A54" s="4" t="s">
        <v>19</v>
      </c>
      <c r="B54" s="10">
        <v>76</v>
      </c>
    </row>
    <row r="55" spans="1:4" x14ac:dyDescent="0.3">
      <c r="A55" s="4" t="s">
        <v>20</v>
      </c>
      <c r="B55" s="10">
        <v>69</v>
      </c>
    </row>
    <row r="56" spans="1:4" x14ac:dyDescent="0.3">
      <c r="A56" s="4" t="s">
        <v>21</v>
      </c>
      <c r="B56" s="10">
        <v>64</v>
      </c>
    </row>
    <row r="57" spans="1:4" x14ac:dyDescent="0.3">
      <c r="A57" s="4" t="s">
        <v>22</v>
      </c>
      <c r="B57" s="10">
        <v>59</v>
      </c>
    </row>
    <row r="58" spans="1:4" x14ac:dyDescent="0.3">
      <c r="A58" s="4" t="s">
        <v>23</v>
      </c>
      <c r="B58" s="10">
        <v>58</v>
      </c>
    </row>
    <row r="59" spans="1:4" x14ac:dyDescent="0.3">
      <c r="A59" s="4" t="s">
        <v>24</v>
      </c>
      <c r="B59" s="10">
        <v>66</v>
      </c>
    </row>
    <row r="60" spans="1:4" x14ac:dyDescent="0.3">
      <c r="A60" s="4" t="s">
        <v>25</v>
      </c>
      <c r="B60" s="10">
        <v>67</v>
      </c>
    </row>
    <row r="61" spans="1:4" x14ac:dyDescent="0.3">
      <c r="A61" s="4" t="s">
        <v>26</v>
      </c>
      <c r="B61" s="10">
        <v>54</v>
      </c>
    </row>
    <row r="62" spans="1:4" x14ac:dyDescent="0.3">
      <c r="A62" s="4" t="s">
        <v>5</v>
      </c>
      <c r="B62" s="10">
        <v>513</v>
      </c>
    </row>
    <row r="64" spans="1:4" x14ac:dyDescent="0.3">
      <c r="A64" s="4" t="s">
        <v>28</v>
      </c>
    </row>
    <row r="65" spans="1:2" x14ac:dyDescent="0.3">
      <c r="A65" s="3" t="s">
        <v>4</v>
      </c>
      <c r="B65" t="s">
        <v>27</v>
      </c>
    </row>
    <row r="66" spans="1:2" x14ac:dyDescent="0.3">
      <c r="A66" s="4" t="s">
        <v>19</v>
      </c>
      <c r="B66" s="10">
        <v>76</v>
      </c>
    </row>
    <row r="67" spans="1:2" x14ac:dyDescent="0.3">
      <c r="A67" s="4" t="s">
        <v>20</v>
      </c>
      <c r="B67" s="10">
        <v>69</v>
      </c>
    </row>
    <row r="68" spans="1:2" x14ac:dyDescent="0.3">
      <c r="A68" s="4" t="s">
        <v>21</v>
      </c>
      <c r="B68" s="10">
        <v>64</v>
      </c>
    </row>
    <row r="69" spans="1:2" x14ac:dyDescent="0.3">
      <c r="A69" s="4" t="s">
        <v>22</v>
      </c>
      <c r="B69" s="10">
        <v>59</v>
      </c>
    </row>
    <row r="70" spans="1:2" x14ac:dyDescent="0.3">
      <c r="A70" s="4" t="s">
        <v>23</v>
      </c>
      <c r="B70" s="10">
        <v>58</v>
      </c>
    </row>
    <row r="71" spans="1:2" x14ac:dyDescent="0.3">
      <c r="A71" s="4" t="s">
        <v>24</v>
      </c>
      <c r="B71" s="10">
        <v>66</v>
      </c>
    </row>
    <row r="72" spans="1:2" x14ac:dyDescent="0.3">
      <c r="A72" s="4" t="s">
        <v>25</v>
      </c>
      <c r="B72" s="10">
        <v>67</v>
      </c>
    </row>
    <row r="73" spans="1:2" x14ac:dyDescent="0.3">
      <c r="A73" s="4" t="s">
        <v>26</v>
      </c>
      <c r="B73" s="10">
        <v>54</v>
      </c>
    </row>
    <row r="74" spans="1:2" x14ac:dyDescent="0.3">
      <c r="A74" s="4" t="s">
        <v>5</v>
      </c>
      <c r="B74" s="10">
        <v>513</v>
      </c>
    </row>
    <row r="76" spans="1:2" x14ac:dyDescent="0.3">
      <c r="A76" s="4" t="s">
        <v>66</v>
      </c>
    </row>
    <row r="77" spans="1:2" x14ac:dyDescent="0.3">
      <c r="A77" s="3" t="s">
        <v>4</v>
      </c>
      <c r="B77" t="s">
        <v>31</v>
      </c>
    </row>
    <row r="78" spans="1:2" x14ac:dyDescent="0.3">
      <c r="A78" s="4" t="s">
        <v>29</v>
      </c>
      <c r="B78" s="10">
        <v>316</v>
      </c>
    </row>
    <row r="79" spans="1:2" x14ac:dyDescent="0.3">
      <c r="A79" s="4" t="s">
        <v>30</v>
      </c>
      <c r="B79" s="10">
        <v>197</v>
      </c>
    </row>
    <row r="80" spans="1:2" x14ac:dyDescent="0.3">
      <c r="A80" s="4" t="s">
        <v>5</v>
      </c>
      <c r="B80" s="10">
        <v>513</v>
      </c>
    </row>
    <row r="82" spans="1:2" x14ac:dyDescent="0.3">
      <c r="A82" s="4" t="s">
        <v>67</v>
      </c>
    </row>
    <row r="83" spans="1:2" x14ac:dyDescent="0.3">
      <c r="A83" s="3" t="s">
        <v>4</v>
      </c>
      <c r="B83" t="s">
        <v>63</v>
      </c>
    </row>
    <row r="84" spans="1:2" x14ac:dyDescent="0.3">
      <c r="A84" s="4" t="s">
        <v>64</v>
      </c>
      <c r="B84" s="10">
        <v>241</v>
      </c>
    </row>
    <row r="85" spans="1:2" x14ac:dyDescent="0.3">
      <c r="A85" s="4" t="s">
        <v>65</v>
      </c>
      <c r="B85" s="10">
        <v>272</v>
      </c>
    </row>
    <row r="86" spans="1:2" x14ac:dyDescent="0.3">
      <c r="A86" s="4" t="s">
        <v>5</v>
      </c>
      <c r="B86" s="10">
        <v>513</v>
      </c>
    </row>
    <row r="88" spans="1:2" x14ac:dyDescent="0.3">
      <c r="A88" s="4" t="s">
        <v>77</v>
      </c>
    </row>
    <row r="89" spans="1:2" x14ac:dyDescent="0.3">
      <c r="A89" s="3" t="s">
        <v>4</v>
      </c>
      <c r="B89" t="s">
        <v>68</v>
      </c>
    </row>
    <row r="90" spans="1:2" x14ac:dyDescent="0.3">
      <c r="A90" s="4" t="s">
        <v>70</v>
      </c>
      <c r="B90" s="10">
        <v>4</v>
      </c>
    </row>
    <row r="91" spans="1:2" x14ac:dyDescent="0.3">
      <c r="A91" s="4" t="s">
        <v>76</v>
      </c>
      <c r="B91" s="10">
        <v>5</v>
      </c>
    </row>
    <row r="92" spans="1:2" x14ac:dyDescent="0.3">
      <c r="A92" s="4" t="s">
        <v>72</v>
      </c>
      <c r="B92" s="10">
        <v>9</v>
      </c>
    </row>
    <row r="93" spans="1:2" x14ac:dyDescent="0.3">
      <c r="A93" s="4" t="s">
        <v>75</v>
      </c>
      <c r="B93" s="10">
        <v>14</v>
      </c>
    </row>
    <row r="94" spans="1:2" x14ac:dyDescent="0.3">
      <c r="A94" s="4" t="s">
        <v>69</v>
      </c>
      <c r="B94" s="10">
        <v>14</v>
      </c>
    </row>
    <row r="95" spans="1:2" x14ac:dyDescent="0.3">
      <c r="A95" s="4" t="s">
        <v>74</v>
      </c>
      <c r="B95" s="10">
        <v>65</v>
      </c>
    </row>
    <row r="96" spans="1:2" x14ac:dyDescent="0.3">
      <c r="A96" s="4" t="s">
        <v>71</v>
      </c>
      <c r="B96" s="10">
        <v>103</v>
      </c>
    </row>
    <row r="97" spans="1:2" x14ac:dyDescent="0.3">
      <c r="A97" s="4" t="s">
        <v>73</v>
      </c>
      <c r="B97" s="10">
        <v>299</v>
      </c>
    </row>
    <row r="98" spans="1:2" x14ac:dyDescent="0.3">
      <c r="A98" s="4" t="s">
        <v>5</v>
      </c>
      <c r="B98" s="10">
        <v>513</v>
      </c>
    </row>
    <row r="101" spans="1:2" x14ac:dyDescent="0.3">
      <c r="A101" s="3" t="s">
        <v>4</v>
      </c>
    </row>
    <row r="102" spans="1:2" x14ac:dyDescent="0.3">
      <c r="A102" s="4" t="s">
        <v>78</v>
      </c>
    </row>
    <row r="103" spans="1:2" x14ac:dyDescent="0.3">
      <c r="A103" s="4" t="s">
        <v>5</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01941-B440-45D2-8DD6-30527ACF660A}">
  <dimension ref="A1:M1"/>
  <sheetViews>
    <sheetView tabSelected="1" zoomScale="145" zoomScaleNormal="145" workbookViewId="0"/>
  </sheetViews>
  <sheetFormatPr defaultRowHeight="14.4" x14ac:dyDescent="0.3"/>
  <cols>
    <col min="1" max="1" width="8.88671875" style="2" customWidth="1"/>
    <col min="2" max="13" width="8.88671875" style="2"/>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F607C-A97A-4622-9440-2BC78CAB9EA6}">
  <dimension ref="A20:M23"/>
  <sheetViews>
    <sheetView workbookViewId="0"/>
  </sheetViews>
  <sheetFormatPr defaultRowHeight="14.4" x14ac:dyDescent="0.3"/>
  <cols>
    <col min="1" max="13" width="8.88671875" style="5"/>
  </cols>
  <sheetData>
    <row r="20" spans="1:10" ht="15.6" x14ac:dyDescent="0.3">
      <c r="A20" s="6"/>
      <c r="B20" s="7"/>
      <c r="C20" s="7"/>
      <c r="D20" s="7"/>
      <c r="E20" s="7"/>
      <c r="F20" s="7"/>
      <c r="G20" s="7"/>
      <c r="H20" s="7"/>
      <c r="I20" s="7"/>
      <c r="J20" s="7"/>
    </row>
    <row r="23" spans="1:10" ht="15.6" x14ac:dyDescent="0.3">
      <c r="A23" s="6" t="s">
        <v>6</v>
      </c>
      <c r="B23" s="7"/>
      <c r="C23" s="7"/>
      <c r="D23" s="7"/>
      <c r="E23" s="7"/>
      <c r="F23" s="7"/>
      <c r="G23" s="7"/>
      <c r="H23" s="7"/>
      <c r="I23" s="7"/>
      <c r="J23"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5AFF-3068-4CA7-A2EC-10B3B1411401}">
  <dimension ref="A28:R28"/>
  <sheetViews>
    <sheetView zoomScale="76" workbookViewId="0"/>
  </sheetViews>
  <sheetFormatPr defaultRowHeight="14.4" x14ac:dyDescent="0.3"/>
  <cols>
    <col min="1" max="18" width="8.88671875" style="5"/>
  </cols>
  <sheetData>
    <row r="28" spans="1:13" ht="21" x14ac:dyDescent="0.4">
      <c r="A28" s="8" t="s">
        <v>9</v>
      </c>
      <c r="B28" s="9"/>
      <c r="C28" s="9"/>
      <c r="D28" s="9"/>
      <c r="E28" s="9"/>
      <c r="F28" s="9"/>
      <c r="G28" s="9"/>
      <c r="H28" s="9"/>
      <c r="I28" s="9"/>
      <c r="J28" s="9"/>
      <c r="K28" s="9"/>
      <c r="L28" s="9"/>
      <c r="M28" s="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0C7CD-E99A-49FF-BF7E-F85EE08A2182}">
  <dimension ref="A28:R29"/>
  <sheetViews>
    <sheetView zoomScale="76" workbookViewId="0"/>
  </sheetViews>
  <sheetFormatPr defaultRowHeight="14.4" x14ac:dyDescent="0.3"/>
  <cols>
    <col min="1" max="18" width="8.88671875" style="5"/>
  </cols>
  <sheetData>
    <row r="28" spans="1:13" ht="21" x14ac:dyDescent="0.4">
      <c r="A28" s="8"/>
      <c r="B28" s="9"/>
      <c r="C28" s="9"/>
      <c r="D28" s="9"/>
      <c r="E28" s="9"/>
      <c r="F28" s="9"/>
      <c r="G28" s="9"/>
      <c r="H28" s="9"/>
      <c r="I28" s="9"/>
      <c r="J28" s="9"/>
      <c r="K28" s="9"/>
      <c r="L28" s="9"/>
      <c r="M28" s="9"/>
    </row>
    <row r="29" spans="1:13" ht="21" x14ac:dyDescent="0.4">
      <c r="A29" s="8" t="s">
        <v>11</v>
      </c>
      <c r="B29" s="9"/>
      <c r="C29" s="9"/>
      <c r="D29" s="9"/>
      <c r="E29" s="9"/>
      <c r="F29" s="9"/>
      <c r="G29" s="9"/>
      <c r="H29" s="9"/>
      <c r="I29" s="9"/>
      <c r="J29" s="9"/>
      <c r="K29" s="9"/>
      <c r="L29" s="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B00E93E-0CE5-4D12-896B-E215A8DDFE91}">
  <ds:schemaRefs/>
</ds:datastoreItem>
</file>

<file path=customXml/itemProps2.xml><?xml version="1.0" encoding="utf-8"?>
<ds:datastoreItem xmlns:ds="http://schemas.openxmlformats.org/officeDocument/2006/customXml" ds:itemID="{086F8113-8240-492A-9DD9-45CF44702C45}">
  <ds:schemaRefs/>
</ds:datastoreItem>
</file>

<file path=customXml/itemProps3.xml><?xml version="1.0" encoding="utf-8"?>
<ds:datastoreItem xmlns:ds="http://schemas.openxmlformats.org/officeDocument/2006/customXml" ds:itemID="{16EF2CDB-B88F-4255-915E-6E0DD70C57CB}">
  <ds:schemaRefs/>
</ds:datastoreItem>
</file>

<file path=customXml/itemProps4.xml><?xml version="1.0" encoding="utf-8"?>
<ds:datastoreItem xmlns:ds="http://schemas.openxmlformats.org/officeDocument/2006/customXml" ds:itemID="{6348118B-B3D5-42D1-B842-E311D04FC588}">
  <ds:schemaRefs/>
</ds:datastoreItem>
</file>

<file path=customXml/itemProps5.xml><?xml version="1.0" encoding="utf-8"?>
<ds:datastoreItem xmlns:ds="http://schemas.openxmlformats.org/officeDocument/2006/customXml" ds:itemID="{B8E71BE3-C1CC-4555-9173-B5EB66B35487}">
  <ds:schemaRefs>
    <ds:schemaRef ds:uri="http://schemas.microsoft.com/DataMashup"/>
  </ds:schemaRefs>
</ds:datastoreItem>
</file>

<file path=customXml/itemProps6.xml><?xml version="1.0" encoding="utf-8"?>
<ds:datastoreItem xmlns:ds="http://schemas.openxmlformats.org/officeDocument/2006/customXml" ds:itemID="{22E6E031-7952-4BBE-9CC8-8AAE3522EE4C}">
  <ds:schemaRefs/>
</ds:datastoreItem>
</file>

<file path=customXml/itemProps7.xml><?xml version="1.0" encoding="utf-8"?>
<ds:datastoreItem xmlns:ds="http://schemas.openxmlformats.org/officeDocument/2006/customXml" ds:itemID="{93F360C7-B8CE-41F3-A54D-251BEB2C5739}">
  <ds:schemaRefs/>
</ds:datastoreItem>
</file>

<file path=customXml/itemProps8.xml><?xml version="1.0" encoding="utf-8"?>
<ds:datastoreItem xmlns:ds="http://schemas.openxmlformats.org/officeDocument/2006/customXml" ds:itemID="{A6A2C0DE-CD37-4CE7-938B-14B267BA3B47}">
  <ds:schemaRefs/>
</ds:datastoreItem>
</file>

<file path=customXml/itemProps9.xml><?xml version="1.0" encoding="utf-8"?>
<ds:datastoreItem xmlns:ds="http://schemas.openxmlformats.org/officeDocument/2006/customXml" ds:itemID="{CE5AB1C2-7B9A-427B-BBBD-4AB8F651C29F}">
  <ds:schemaRefs/>
</ds:datastoreItem>
</file>

<file path=customXml/itemProps10.xml><?xml version="1.0" encoding="utf-8"?>
<ds:datastoreItem xmlns:ds="http://schemas.openxmlformats.org/officeDocument/2006/customXml" ds:itemID="{ABCB8A56-8DB4-48A7-8D57-54DEDCA89C08}">
  <ds:schemaRefs/>
</ds:datastoreItem>
</file>

<file path=customXml/itemProps11.xml><?xml version="1.0" encoding="utf-8"?>
<ds:datastoreItem xmlns:ds="http://schemas.openxmlformats.org/officeDocument/2006/customXml" ds:itemID="{F0C9EF36-2485-4FF3-9CAB-F98BF5B69137}">
  <ds:schemaRefs/>
</ds:datastoreItem>
</file>

<file path=customXml/itemProps12.xml><?xml version="1.0" encoding="utf-8"?>
<ds:datastoreItem xmlns:ds="http://schemas.openxmlformats.org/officeDocument/2006/customXml" ds:itemID="{59F9EB81-67AB-4900-91AF-E1DADAE1AE1E}">
  <ds:schemaRefs/>
</ds:datastoreItem>
</file>

<file path=customXml/itemProps13.xml><?xml version="1.0" encoding="utf-8"?>
<ds:datastoreItem xmlns:ds="http://schemas.openxmlformats.org/officeDocument/2006/customXml" ds:itemID="{20172942-6B65-4673-B098-47ADE7498F4D}">
  <ds:schemaRefs/>
</ds:datastoreItem>
</file>

<file path=customXml/itemProps14.xml><?xml version="1.0" encoding="utf-8"?>
<ds:datastoreItem xmlns:ds="http://schemas.openxmlformats.org/officeDocument/2006/customXml" ds:itemID="{E5CA2535-079C-4409-BECB-48995C28D0C3}">
  <ds:schemaRefs/>
</ds:datastoreItem>
</file>

<file path=customXml/itemProps15.xml><?xml version="1.0" encoding="utf-8"?>
<ds:datastoreItem xmlns:ds="http://schemas.openxmlformats.org/officeDocument/2006/customXml" ds:itemID="{AA58D11E-D5E7-481A-9B70-E2E73E5DD50A}">
  <ds:schemaRefs/>
</ds:datastoreItem>
</file>

<file path=customXml/itemProps16.xml><?xml version="1.0" encoding="utf-8"?>
<ds:datastoreItem xmlns:ds="http://schemas.openxmlformats.org/officeDocument/2006/customXml" ds:itemID="{0A6C10B1-C105-4FB9-B973-3A81B55F61F9}">
  <ds:schemaRefs/>
</ds:datastoreItem>
</file>

<file path=customXml/itemProps17.xml><?xml version="1.0" encoding="utf-8"?>
<ds:datastoreItem xmlns:ds="http://schemas.openxmlformats.org/officeDocument/2006/customXml" ds:itemID="{C8D27E51-23C4-4AF3-B540-B8E410013E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Bijender Jangra</dc:creator>
  <cp:lastModifiedBy>Bijender Jangra</cp:lastModifiedBy>
  <dcterms:created xsi:type="dcterms:W3CDTF">2026-06-04T09:41:54Z</dcterms:created>
  <dcterms:modified xsi:type="dcterms:W3CDTF">2026-06-14T08:07:17Z</dcterms:modified>
</cp:coreProperties>
</file>